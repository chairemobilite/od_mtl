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artmquebec.sharepoint.com/sites/msteams_e4c660_661427/Documents partages/General/Mandats ARTM/_EPM_Enquete_Perspective_mobilite/2026_Metropolitaine/01_Preparation/05_Questionnaire/Evolution/"/>
    </mc:Choice>
  </mc:AlternateContent>
  <xr:revisionPtr revIDLastSave="4491" documentId="11_28A5E140909D3AE68501BBFBD4BB792C58301B82" xr6:coauthVersionLast="47" xr6:coauthVersionMax="47" xr10:uidLastSave="{9DA40E4D-4DEE-4392-B82E-AFDB7D9B2775}"/>
  <bookViews>
    <workbookView xWindow="-120" yWindow="-120" windowWidth="29040" windowHeight="15720" tabRatio="500" activeTab="3" xr2:uid="{00000000-000D-0000-FFFF-FFFF00000000}"/>
  </bookViews>
  <sheets>
    <sheet name="Sections" sheetId="3" r:id="rId1"/>
    <sheet name="Widgets" sheetId="1" r:id="rId2"/>
    <sheet name="Conditionals" sheetId="2" r:id="rId3"/>
    <sheet name="Choices" sheetId="4" r:id="rId4"/>
    <sheet name="Help_Popup" sheetId="8" r:id="rId5"/>
    <sheet name="Labels" sheetId="6" r:id="rId6"/>
    <sheet name="InputRange" sheetId="5" r:id="rId7"/>
  </sheets>
  <definedNames>
    <definedName name="_xlnm._FilterDatabase" localSheetId="3" hidden="1">Choices!$A$1:$I$292</definedName>
    <definedName name="_xlnm._FilterDatabase" localSheetId="5" hidden="1">Labels!$A$1:$F$87</definedName>
    <definedName name="_xlnm._FilterDatabase" localSheetId="1" hidden="1">Widgets!$A$1:$AC$218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85" i="1" l="1"/>
  <c r="C87" i="1"/>
  <c r="Y86" i="1"/>
  <c r="C86" i="1"/>
  <c r="Y87" i="1"/>
  <c r="C148" i="1" l="1"/>
  <c r="C140" i="1" l="1"/>
  <c r="Y3" i="1"/>
  <c r="Y4" i="1"/>
  <c r="Y5" i="1"/>
  <c r="Y6" i="1"/>
  <c r="Y7" i="1"/>
  <c r="Y8" i="1"/>
  <c r="Y9" i="1"/>
  <c r="Y10" i="1"/>
  <c r="Y11" i="1"/>
  <c r="Y13" i="1"/>
  <c r="Y14" i="1"/>
  <c r="Y15" i="1"/>
  <c r="Y16" i="1"/>
  <c r="Y17" i="1"/>
  <c r="Y18" i="1"/>
  <c r="Y19" i="1"/>
  <c r="Y20" i="1"/>
  <c r="Y21" i="1"/>
  <c r="Y22" i="1"/>
  <c r="Y24" i="1"/>
  <c r="Y25" i="1"/>
  <c r="Y26" i="1"/>
  <c r="Y27" i="1"/>
  <c r="Y28" i="1"/>
  <c r="Y29" i="1"/>
  <c r="Y30" i="1"/>
  <c r="Y31" i="1"/>
  <c r="Y32" i="1"/>
  <c r="Y33" i="1"/>
  <c r="Y34" i="1"/>
  <c r="Y35" i="1"/>
  <c r="Y36" i="1"/>
  <c r="Y37" i="1"/>
  <c r="Y38" i="1"/>
  <c r="Y39" i="1"/>
  <c r="Y40" i="1"/>
  <c r="Y41" i="1"/>
  <c r="Y42" i="1"/>
  <c r="Y43" i="1"/>
  <c r="Y44" i="1"/>
  <c r="Y45" i="1"/>
  <c r="Y46" i="1"/>
  <c r="Y47" i="1"/>
  <c r="Y48" i="1"/>
  <c r="Y49" i="1"/>
  <c r="Y51" i="1"/>
  <c r="Y53" i="1"/>
  <c r="Y54" i="1"/>
  <c r="Y55" i="1"/>
  <c r="Y56" i="1"/>
  <c r="Y57" i="1"/>
  <c r="Y58" i="1"/>
  <c r="Y59" i="1"/>
  <c r="Y60" i="1"/>
  <c r="Y61" i="1"/>
  <c r="Y62" i="1"/>
  <c r="Y63" i="1"/>
  <c r="Y65" i="1"/>
  <c r="Y66" i="1"/>
  <c r="Y67" i="1"/>
  <c r="Y68" i="1"/>
  <c r="Y69" i="1"/>
  <c r="Y70" i="1"/>
  <c r="Y71" i="1"/>
  <c r="Y72" i="1"/>
  <c r="Y73" i="1"/>
  <c r="Y74" i="1"/>
  <c r="Y75" i="1"/>
  <c r="Y76" i="1"/>
  <c r="Y77" i="1"/>
  <c r="Y82" i="1"/>
  <c r="Y83" i="1"/>
  <c r="Y78" i="1"/>
  <c r="Y84" i="1"/>
  <c r="Y85" i="1"/>
  <c r="Y79" i="1"/>
  <c r="Y80" i="1"/>
  <c r="Y81"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4" i="1"/>
  <c r="Y135" i="1"/>
  <c r="Y136" i="1"/>
  <c r="Y137" i="1"/>
  <c r="Y138" i="1"/>
  <c r="Y139" i="1"/>
  <c r="Y141" i="1"/>
  <c r="Y142" i="1"/>
  <c r="Y143" i="1"/>
  <c r="Y144" i="1"/>
  <c r="Y145" i="1"/>
  <c r="Y146" i="1"/>
  <c r="Y148"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2" i="1"/>
  <c r="Y200" i="1"/>
  <c r="Y201" i="1"/>
  <c r="Y202" i="1"/>
  <c r="Y203" i="1"/>
  <c r="Y204" i="1"/>
  <c r="Y205" i="1"/>
  <c r="Y206" i="1"/>
  <c r="Y207" i="1"/>
  <c r="Y208" i="1"/>
  <c r="Y209" i="1"/>
  <c r="Y210" i="1"/>
  <c r="C205" i="1"/>
  <c r="C206" i="1"/>
  <c r="C200" i="1"/>
  <c r="C201"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43" i="1"/>
  <c r="C128" i="1"/>
  <c r="C129" i="1"/>
  <c r="C130" i="1"/>
  <c r="C131" i="1"/>
  <c r="C132" i="1"/>
  <c r="C126" i="1"/>
  <c r="C118" i="1"/>
  <c r="C119" i="1"/>
  <c r="C120" i="1"/>
  <c r="C121" i="1"/>
  <c r="C122" i="1"/>
  <c r="C123" i="1"/>
  <c r="C124" i="1"/>
  <c r="C125" i="1"/>
  <c r="C109" i="1"/>
  <c r="C110" i="1"/>
  <c r="C111" i="1"/>
  <c r="C112" i="1"/>
  <c r="C113" i="1"/>
  <c r="C114" i="1"/>
  <c r="C115" i="1"/>
  <c r="C116" i="1"/>
  <c r="C105" i="1"/>
  <c r="C104" i="1"/>
  <c r="C103" i="1"/>
  <c r="C102" i="1"/>
  <c r="C83" i="1"/>
  <c r="C82" i="1"/>
  <c r="C63" i="1"/>
  <c r="C62" i="1"/>
  <c r="C48" i="1"/>
  <c r="C41" i="1"/>
  <c r="C40" i="1"/>
  <c r="C39" i="1"/>
  <c r="C38" i="1"/>
  <c r="C37" i="1"/>
  <c r="C36" i="1"/>
  <c r="C34" i="1"/>
  <c r="C18" i="1"/>
  <c r="C17" i="1"/>
  <c r="C16" i="1"/>
  <c r="C15" i="1"/>
  <c r="F182" i="1" l="1"/>
  <c r="C144" i="1" l="1"/>
  <c r="C31" i="1"/>
  <c r="C30" i="1"/>
  <c r="F21" i="1"/>
  <c r="F18" i="1"/>
  <c r="F17" i="1"/>
  <c r="F16" i="1"/>
  <c r="F15" i="1"/>
  <c r="C11" i="1"/>
  <c r="F11" i="1"/>
  <c r="C4" i="1"/>
  <c r="G14" i="3"/>
  <c r="F14" i="3"/>
  <c r="E14" i="3"/>
  <c r="G13" i="3"/>
  <c r="F13" i="3"/>
  <c r="E13" i="3"/>
  <c r="G12" i="3"/>
  <c r="F12" i="3"/>
  <c r="E12" i="3"/>
  <c r="G9" i="3"/>
  <c r="F9" i="3"/>
  <c r="E9" i="3"/>
  <c r="F8" i="3"/>
  <c r="E8" i="3"/>
  <c r="F7" i="3"/>
  <c r="E7" i="3"/>
  <c r="G6" i="3"/>
  <c r="F6" i="3"/>
  <c r="E6" i="3"/>
  <c r="G5" i="3"/>
  <c r="F5" i="3"/>
  <c r="E5" i="3"/>
  <c r="G4" i="3"/>
  <c r="F4" i="3"/>
  <c r="E4" i="3"/>
  <c r="G3" i="3"/>
  <c r="F3" i="3"/>
  <c r="E3" i="3"/>
  <c r="G2" i="3"/>
  <c r="F2" i="3"/>
  <c r="E2" i="3"/>
  <c r="Y218" i="1"/>
  <c r="C218" i="1"/>
  <c r="C217" i="1"/>
  <c r="Y216" i="1"/>
  <c r="C216" i="1"/>
  <c r="Y215" i="1"/>
  <c r="C215" i="1"/>
  <c r="Y214" i="1"/>
  <c r="C214" i="1"/>
  <c r="Y213" i="1"/>
  <c r="C213" i="1"/>
  <c r="Y212" i="1"/>
  <c r="C212" i="1"/>
  <c r="Y211" i="1"/>
  <c r="C211" i="1"/>
  <c r="C203" i="1"/>
  <c r="C202" i="1"/>
  <c r="C210" i="1"/>
  <c r="C209" i="1"/>
  <c r="C208" i="1"/>
  <c r="C207" i="1"/>
  <c r="C204" i="1"/>
  <c r="C12" i="1"/>
  <c r="C199" i="1"/>
  <c r="C198" i="1"/>
  <c r="C197" i="1"/>
  <c r="C196" i="1"/>
  <c r="C195" i="1"/>
  <c r="C194" i="1"/>
  <c r="F193" i="1"/>
  <c r="C193" i="1"/>
  <c r="C192" i="1"/>
  <c r="C149" i="1"/>
  <c r="C139" i="1"/>
  <c r="C138" i="1"/>
  <c r="C137" i="1"/>
  <c r="C136" i="1"/>
  <c r="C135" i="1"/>
  <c r="C134" i="1"/>
  <c r="C127" i="1"/>
  <c r="C117" i="1"/>
  <c r="C108" i="1"/>
  <c r="C107" i="1"/>
  <c r="C106" i="1"/>
  <c r="C101" i="1"/>
  <c r="C100" i="1"/>
  <c r="C99" i="1"/>
  <c r="C98" i="1"/>
  <c r="C97" i="1"/>
  <c r="C96" i="1"/>
  <c r="C95" i="1"/>
  <c r="C94" i="1"/>
  <c r="C93" i="1"/>
  <c r="C92" i="1"/>
  <c r="C91" i="1"/>
  <c r="C90" i="1"/>
  <c r="C89" i="1"/>
  <c r="C88" i="1"/>
  <c r="C81" i="1"/>
  <c r="C80" i="1"/>
  <c r="C79" i="1"/>
  <c r="C78" i="1"/>
  <c r="C77" i="1"/>
  <c r="C76" i="1"/>
  <c r="C75" i="1"/>
  <c r="C74" i="1"/>
  <c r="C84" i="1"/>
  <c r="C73" i="1"/>
  <c r="C72" i="1"/>
  <c r="C71" i="1"/>
  <c r="C70" i="1"/>
  <c r="C69" i="1"/>
  <c r="C68" i="1"/>
  <c r="C67" i="1"/>
  <c r="C66" i="1"/>
  <c r="C65" i="1"/>
  <c r="C64" i="1"/>
  <c r="C61" i="1"/>
  <c r="C60" i="1"/>
  <c r="C59" i="1"/>
  <c r="C58" i="1"/>
  <c r="C57" i="1"/>
  <c r="C56" i="1"/>
  <c r="C55" i="1"/>
  <c r="C54" i="1"/>
  <c r="C53" i="1"/>
  <c r="C52" i="1"/>
  <c r="C51" i="1"/>
  <c r="F50" i="1"/>
  <c r="C50" i="1"/>
  <c r="C47" i="1"/>
  <c r="C46" i="1"/>
  <c r="C147" i="1"/>
  <c r="C146" i="1"/>
  <c r="C142" i="1"/>
  <c r="C141" i="1"/>
  <c r="C145" i="1"/>
  <c r="C45" i="1"/>
  <c r="C33" i="1"/>
  <c r="C29" i="1"/>
  <c r="C28" i="1"/>
  <c r="C49" i="1"/>
  <c r="C42" i="1"/>
  <c r="C43" i="1"/>
  <c r="C27" i="1"/>
  <c r="C35" i="1"/>
  <c r="C25" i="1"/>
  <c r="C26" i="1"/>
  <c r="C24" i="1"/>
  <c r="F23" i="1"/>
  <c r="C23" i="1"/>
  <c r="F22" i="1"/>
  <c r="C22" i="1"/>
  <c r="F20" i="1"/>
  <c r="C20" i="1"/>
  <c r="F19" i="1"/>
  <c r="C19" i="1"/>
  <c r="F14" i="1"/>
  <c r="C14" i="1"/>
  <c r="F13" i="1"/>
  <c r="C13" i="1"/>
  <c r="F10" i="1"/>
  <c r="C10" i="1"/>
  <c r="F9" i="1"/>
  <c r="C9" i="1"/>
  <c r="F8" i="1"/>
  <c r="C8" i="1"/>
  <c r="F7" i="1"/>
  <c r="C7" i="1"/>
  <c r="C6" i="1"/>
  <c r="C5" i="1"/>
  <c r="C3" i="1"/>
  <c r="Y2" i="1"/>
  <c r="C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tc={28389B61-EF3A-490D-8EC3-8B04699C8413}</author>
  </authors>
  <commentList>
    <comment ref="H48" authorId="0" shapeId="0" xr:uid="{28389B61-EF3A-490D-8EC3-8B04699C8413}">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@Hedieh Keshavarz  revoir le pronom pour la version neutre</t>
      </text>
    </comment>
  </commentList>
</comments>
</file>

<file path=xl/sharedStrings.xml><?xml version="1.0" encoding="utf-8"?>
<sst xmlns="http://schemas.openxmlformats.org/spreadsheetml/2006/main" count="4275" uniqueCount="2201">
  <si>
    <t>questionName</t>
  </si>
  <si>
    <t>inputType</t>
  </si>
  <si>
    <t>active</t>
  </si>
  <si>
    <t>section</t>
  </si>
  <si>
    <t>group</t>
  </si>
  <si>
    <t>path</t>
  </si>
  <si>
    <t>label::fr</t>
  </si>
  <si>
    <t>label::en</t>
  </si>
  <si>
    <t>label_one::fr</t>
  </si>
  <si>
    <t>label_one::en</t>
  </si>
  <si>
    <t>parameters</t>
  </si>
  <si>
    <t>appearance</t>
  </si>
  <si>
    <t>conditional</t>
  </si>
  <si>
    <t>validation</t>
  </si>
  <si>
    <t>choices</t>
  </si>
  <si>
    <t>help_popup</t>
  </si>
  <si>
    <t>inputRange</t>
  </si>
  <si>
    <t>comments</t>
  </si>
  <si>
    <t>confirm_popup</t>
  </si>
  <si>
    <t>containsHtml</t>
  </si>
  <si>
    <t>customPath</t>
  </si>
  <si>
    <t>customChoice</t>
  </si>
  <si>
    <t>defaultValue</t>
  </si>
  <si>
    <t>includeNotApplicable</t>
  </si>
  <si>
    <t>Comment</t>
  </si>
  <si>
    <t>accessCode</t>
  </si>
  <si>
    <t>String</t>
  </si>
  <si>
    <t>home</t>
  </si>
  <si>
    <t>**Code d'accès**
__Inscrit dans la lettre reçue.__</t>
  </si>
  <si>
    <t>**Access code**
__Printed on the letter you received.__</t>
  </si>
  <si>
    <t>formatter=eightDigitsAccessCodeFormatter</t>
  </si>
  <si>
    <t>accessCodeValidation</t>
  </si>
  <si>
    <t>acceptToBeContactedForHelp</t>
  </si>
  <si>
    <t>Radio</t>
  </si>
  <si>
    <t>Je consens à être contacté(e) pour **continuer ou préciser le questionnaire**. 
__Si je ne le termine pas ou si certains des renseignements fournis sont incohérents.__</t>
  </si>
  <si>
    <t>I consent to be contacted to **continue the survey**.
__If I do not complete it or if some of the information provided is incoherent.__</t>
  </si>
  <si>
    <t>yesNo</t>
  </si>
  <si>
    <t>contactInformationIntro</t>
  </si>
  <si>
    <t>InfoText</t>
  </si>
  <si>
    <t>acceptsToBeContactedForHelp</t>
  </si>
  <si>
    <t>contactEmail</t>
  </si>
  <si>
    <t>**Adresse courriel**</t>
  </si>
  <si>
    <t>**Email address**</t>
  </si>
  <si>
    <t>emailOptionalCustomValidation</t>
  </si>
  <si>
    <t>home_address</t>
  </si>
  <si>
    <t>**Adresse**</t>
  </si>
  <si>
    <t>**Address**</t>
  </si>
  <si>
    <t>home_city</t>
  </si>
  <si>
    <t>**Ville** ou **municipalité**</t>
  </si>
  <si>
    <t>**City** or **municipality**</t>
  </si>
  <si>
    <t>home_postalCode</t>
  </si>
  <si>
    <t>**Code postal**</t>
  </si>
  <si>
    <t>**Postal Code**</t>
  </si>
  <si>
    <t>formatter=canadianPostalCodeFormatter</t>
  </si>
  <si>
    <t>postalCodeValidation</t>
  </si>
  <si>
    <t>home_geography</t>
  </si>
  <si>
    <t>Custom</t>
  </si>
  <si>
    <t>**Positionnement de votre domicile**
Recherchez votre domicile en utilisant son code postal ou son adresse en cliquant sur le bouton ci-dessous, ou veuillez positionner le lieu sur la carte en naviguant, zoomant et cliquant. Une fois le lieu localisé, vous pouvez déplacer le point pour plus de précision.</t>
  </si>
  <si>
    <t>household_size</t>
  </si>
  <si>
    <t>**Personnes habitant votre domicile** ou logement
__Y compris vous-même et les enfants en garde partagée s'ils étaient à votre domicile le {{assignedDate}}.__</t>
  </si>
  <si>
    <t>min=1
max=6
overMaxAllowed</t>
  </si>
  <si>
    <t>householdSizeValidation</t>
  </si>
  <si>
    <t>householdSizeHelpPopup</t>
  </si>
  <si>
    <t>household_carNumber</t>
  </si>
  <si>
    <t>RadioNumber</t>
  </si>
  <si>
    <t>**Automobiles**, VUS, camions légers ou fourgonnettes, etc.
__À la disposition de votre ménage.__</t>
  </si>
  <si>
    <t>**Cars**, SUVs, light-duty trucks or vans, etc.
__Available to one or more members of your household.__</t>
  </si>
  <si>
    <t>carNumberValidation</t>
  </si>
  <si>
    <t>householdCarNumberHelpPopup</t>
  </si>
  <si>
    <t>household_bicycleNumber</t>
  </si>
  <si>
    <t>household_electricBicycleNumber</t>
  </si>
  <si>
    <t>Among these bicycles, how many are **electric bicycles** (e-bikes)?</t>
  </si>
  <si>
    <t>min=0
max=household.bicycleNumber</t>
  </si>
  <si>
    <t>hasHouseholdBicycleConditional</t>
  </si>
  <si>
    <t>household_atLeastOnePersonWithDisability</t>
  </si>
  <si>
    <t>Y a-t-il au moins une personne dans votre ménage avec une **incapacité permanente qui limite ses déplacements quotidiens**?
__Y compris vous-même__</t>
  </si>
  <si>
    <t>Is there at least one person in your household having a **permanent disability that limits their daily travel?**
__Including yourself__</t>
  </si>
  <si>
    <t>hasHouseholdSize2OrMoreConditional</t>
  </si>
  <si>
    <t>yesNoPreferNotToAnswer</t>
  </si>
  <si>
    <t>home_save</t>
  </si>
  <si>
    <t>NextButton</t>
  </si>
  <si>
    <t>Enregistrer et continuer</t>
  </si>
  <si>
    <t>Save and continue</t>
  </si>
  <si>
    <t>householdMembers</t>
  </si>
  <si>
    <t>household</t>
  </si>
  <si>
    <t>personAge</t>
  </si>
  <si>
    <t>Number</t>
  </si>
  <si>
    <t>age</t>
  </si>
  <si>
    <t>ageValidation</t>
  </si>
  <si>
    <t>personNickname</t>
  </si>
  <si>
    <t>nickname</t>
  </si>
  <si>
    <t>**Name or nickname** that will allow you to identify this person for the remainder of the interview
__Can be a nickname, initials, or who this person represents to you (ex: 'Me','Kiddo','Mum','JT').
The name is only used to simplify the response process and will be removed from the final dataset.__</t>
  </si>
  <si>
    <t>personHasDisability</t>
  </si>
  <si>
    <t>hasDisability</t>
  </si>
  <si>
    <t>**Incapacité permanente d'ordre physique, intellectuelle ou autre** qui influence ou limite vos déplacements quotidiens?</t>
  </si>
  <si>
    <t>hasOnePersonWithDisabilityOrHhSize1Conditional</t>
  </si>
  <si>
    <t>ifAge5orMoreConditional</t>
  </si>
  <si>
    <t>maleFemalePreferNotAnswer</t>
  </si>
  <si>
    <t>personGender</t>
  </si>
  <si>
    <t>gender</t>
  </si>
  <si>
    <t>hasPreferNotToAnswerToSexAssignedConditional</t>
  </si>
  <si>
    <t>maleFemaleCustomPreferNotToAnswer</t>
  </si>
  <si>
    <t>custom</t>
  </si>
  <si>
    <t>personWorkerType</t>
  </si>
  <si>
    <t>workerType</t>
  </si>
  <si>
    <t>ifAge14orMoreConditional</t>
  </si>
  <si>
    <t>participationStatusWorker</t>
  </si>
  <si>
    <t>personStudentType</t>
  </si>
  <si>
    <t>studentType</t>
  </si>
  <si>
    <t>**Étudiant{{gender:/e/(e)/(e)}}**</t>
  </si>
  <si>
    <t>**Student**</t>
  </si>
  <si>
    <t>ifAge16OrMoreConditional</t>
  </si>
  <si>
    <t>participationStatusStudent</t>
  </si>
  <si>
    <t>schoolType</t>
  </si>
  <si>
    <t>ifAge15OrLessConditional</t>
  </si>
  <si>
    <t>other</t>
  </si>
  <si>
    <t>personOccupation</t>
  </si>
  <si>
    <t>occupation</t>
  </si>
  <si>
    <t>**Occupation principale**</t>
  </si>
  <si>
    <t>**Main occupation**</t>
  </si>
  <si>
    <t>parentalOrSickLeaveConditional</t>
  </si>
  <si>
    <t>personEducationalAttainment</t>
  </si>
  <si>
    <t>educationalAttainment</t>
  </si>
  <si>
    <t>ifAge15OrMoreConditional</t>
  </si>
  <si>
    <t>personDrivingLicenseOwnership</t>
  </si>
  <si>
    <t>drivingLicenseOwnership</t>
  </si>
  <si>
    <t>**Permis de conduire**
__Inclure les permis d’apprenti{{gender:e}} conduct{{gender:eur/rice/eur(-rice)/eur(-rice)}} et probatoires, mais ne pas inclure les permis de cyclomoteur/scooter.__</t>
  </si>
  <si>
    <t>**Driver's licence**
__Include learner's and probationary permits, but do not include moped (motorized scooter) permits.__</t>
  </si>
  <si>
    <t>yesNoDontKnow</t>
  </si>
  <si>
    <t>hasDrivingLicenseConditional</t>
  </si>
  <si>
    <t>Checkbox</t>
  </si>
  <si>
    <t>ifAge6OrMoreConditional</t>
  </si>
  <si>
    <t>transitFareType</t>
  </si>
  <si>
    <t>personWorkPlaceType</t>
  </si>
  <si>
    <t>workPlaceType</t>
  </si>
  <si>
    <t>Est-ce que {{nickname}} a un **lieu d'emploi** fixe?</t>
  </si>
  <si>
    <t>Avez-vous un **lieu d'emploi** fixe?</t>
  </si>
  <si>
    <t>isWorkerConditional</t>
  </si>
  <si>
    <t>workPlaceTypeChoices</t>
  </si>
  <si>
    <t>wasWorkerBeforeLeaveConditional</t>
  </si>
  <si>
    <t>isStudentConditional</t>
  </si>
  <si>
    <t>schoolPlaceTypeChoices</t>
  </si>
  <si>
    <t>personUsualWorkPlaceName</t>
  </si>
  <si>
    <t>usualWorkPlace.name</t>
  </si>
  <si>
    <t>**Nom ou adresse** du **lieu habituel de travail** de {{nickname}}</t>
  </si>
  <si>
    <t>**Nom ou adresse** de votre **lieu habituel de travail**</t>
  </si>
  <si>
    <t>hasWorkingLocationConditional</t>
  </si>
  <si>
    <t>personUsualWorkPlaceGeography</t>
  </si>
  <si>
    <t>usualWorkPlace.geography</t>
  </si>
  <si>
    <t>Veuillez localiser le **lieu de travail habituel** de {{nickname}}
__Naviguez, zoomez, et cliquez sur la carte pour localiser le lieu. Une fois localisé, vous pourrez déplacer le point sur la carte pour davantage de précision.
Vous pouvez également chercher le lieu sur la carte en utilisant le bouton "Chercher le lieu".__</t>
  </si>
  <si>
    <t>Veuillez localiser votre **lieu de travail habituel**.
__Naviguez, zoomez, et cliquez sur la carte pour localiser le lieu. Une fois localisé, vous pourrez déplacer le point sur la carte pour davantage de précision.
Vous pouvez également chercher le lieu sur la carte en utilisant le bouton "Chercher le lieu".__</t>
  </si>
  <si>
    <t>personUsualSchoolPlaceName</t>
  </si>
  <si>
    <t>usualSchoolPlace.name</t>
  </si>
  <si>
    <t>**Nom ou adresse** du **lieu habituel d’études** de {{nickname}}</t>
  </si>
  <si>
    <t>**Name or address** of {{nickname}}'s school or **main study location**</t>
  </si>
  <si>
    <t>**Nom ou adresse** de votre **lieu habituel d’études**</t>
  </si>
  <si>
    <t>**Name or address** of your school or **main study location**</t>
  </si>
  <si>
    <t>personUsualSchoolPlaceGeography</t>
  </si>
  <si>
    <t>usualSchoolPlace.geography</t>
  </si>
  <si>
    <t>Veuillez localiser le **lieu habituel d’études** de {{nickname}}.
__Naviguez, zoomez, et cliquez sur la carte pour localiser le lieu. Une fois localisé, vous pourrez déplacer le point sur la carte pour davantage de précision.
Vous pouvez également chercher le lieu sur la carte en utilisant le bouton "Chercher le lieu").__</t>
  </si>
  <si>
    <t>Please locate the **usual place of study** for {{nickname}}.
__Navigate, zoom, and click on the map to identify the location. Once located, you can move the marker for greater precision.
You can also search for the place on the map using the "Search location" button.__</t>
  </si>
  <si>
    <t>Veuillez localiser votre **lieu habituel d’études**.
__Naviguez, zoomez, et cliquez sur la carte pour localiser le lieu. Une fois localisé, vous pourrez déplacer le point sur la carte pour davantage de précision.
Vous pouvez également chercher le lieu sur la carte en utilisant le bouton "Chercher le lieu").__</t>
  </si>
  <si>
    <t>Please locate your **usual place of study**.
__Navigate, zoom, and click on the map to identify the location. Once located, you can move the marker for greater precision.
You can also search for the place on the map using the "Search location" button.__</t>
  </si>
  <si>
    <t>personTravelToWorkDays</t>
  </si>
  <si>
    <t>travelToWorkDays</t>
  </si>
  <si>
    <t>personRemoteWorkDays</t>
  </si>
  <si>
    <t>remoteWorkDays</t>
  </si>
  <si>
    <t>personRemoteWorkDaysConditional</t>
  </si>
  <si>
    <t>household_save</t>
  </si>
  <si>
    <t>validateHouseholdAgesHelpPopup</t>
  </si>
  <si>
    <t>selectPerson</t>
  </si>
  <si>
    <t>_activePersonId</t>
  </si>
  <si>
    <t>Pour quelle personne désirez-vous poursuivre l'entrevue?</t>
  </si>
  <si>
    <t>Who do you want to continue the interview for?</t>
  </si>
  <si>
    <t>buttonSelectPersonConfirm</t>
  </si>
  <si>
    <t>Sélectionner cette personne et continuer</t>
  </si>
  <si>
    <t>Select this person and continue</t>
  </si>
  <si>
    <t>activePersonTitle</t>
  </si>
  <si>
    <t>tripsIntro</t>
  </si>
  <si>
    <t>&lt;p class="_center _em" style="margin-bottom: 0;"&gt;Entrevue de **{{nickname}}**&lt;/p&gt;&lt;p class="_center _pale"&gt;•&lt;/p&gt;</t>
  </si>
  <si>
    <t>&lt;p class="_center _em" style="margin-bottom: 0;"&gt;**{{nickname}}**’s interview&lt;/p&gt;&lt;p class="_center _pale"&gt;•&lt;/p&gt;</t>
  </si>
  <si>
    <t>buttonSwitchPerson</t>
  </si>
  <si>
    <t>Changer de personne</t>
  </si>
  <si>
    <t>Change person</t>
  </si>
  <si>
    <t>personNewPerson</t>
  </si>
  <si>
    <t>_showNewPersonPopupButton</t>
  </si>
  <si>
    <t>personWhoWillAnswerForThisPerson</t>
  </si>
  <si>
    <t>whoAnswers</t>
  </si>
  <si>
    <t>personDidTrips</t>
  </si>
  <si>
    <t>Est-ce que {{nickname}} s'est déplac{{gender:é/ée/é(e)/é(e)}} le {{assignedDate}}?
__Inclure tous les déplacements, qu'ils soient pour des motifs personnels (achats, sorties, loisirs, etc.), pour le travail, ou pour aller chercher ou reconduire quelqu'un.__</t>
  </si>
  <si>
    <t>Did {{nickname}} make any trips on {{assignedDate}}?
__Include all trips, whether for personal reasons (shopping, outings, leisure, etc.), for work, or to pick up or drop someone off.__</t>
  </si>
  <si>
    <t>Vous êtes-vous déplac{{gender:é/ée/é(e)/é(e)}} le {{assignedDate}}?
__Inclure tous les déplacements, qu'ils soient pour des motifs personnels (achats, sorties, loisirs, etc.), pour le travail, ou pour aller chercher ou reconduire quelqu'un.__</t>
  </si>
  <si>
    <t>Did you make any trips on {{assignedDate}}?
__Include all trips, whether for personal reasons (shopping, outings, leisure, etc.), for work, or to pick up or drop someone off.__</t>
  </si>
  <si>
    <t>personDidTripsConfirm</t>
  </si>
  <si>
    <t>Vous avez déjà déclaré des déplacements. Confirmez-vous qu'ils sont erronés et que {{nickname}} ne s'est pas déplac{{gender:é/ée/é(e)/é(e)}} le {{formattedTripsDate}}?</t>
  </si>
  <si>
    <t>Vous avez déjà déclaré des déplacements. Confirmez-vous qu'ils sont erronés et que vous n'avez fait aucun déplacement le {{formattedTripsDate}}?</t>
  </si>
  <si>
    <t>visitedPlacesIntro</t>
  </si>
  <si>
    <t>didTripsIntro</t>
  </si>
  <si>
    <t>personDeparturePlaceIsHome</t>
  </si>
  <si>
    <t>departurePlaceIsHome</t>
  </si>
  <si>
    <t>Did {{nickname}} **start their day at home** ({{address}})?
__Answer 'No' only if {{nickname}} did not sleep at home (nuit du {{dayOne}} au {{dayTwo}}) or came home after 4 AM (ex: overnight work shift).__</t>
  </si>
  <si>
    <t>Did you **start your day at home** ({{address}})?
__Answer 'No' only if you did not sleep at home (nuit du {{dayOne}} au {{dayTwo}}) or came home after 4 AM (ex: overnight work shift).__</t>
  </si>
  <si>
    <t>personDeparturePlaceOther</t>
  </si>
  <si>
    <t>household.persons.{_activePersonId}.journeys.{_activeJourneyId}.departurePlaceOther</t>
  </si>
  <si>
    <t>Où était {{nickname}} à 4h du matin?</t>
  </si>
  <si>
    <t>Where was {{nickname}} at 4 AM?</t>
  </si>
  <si>
    <t>Où étiez-vous à 4h du matin?</t>
  </si>
  <si>
    <t>Where were you at 4 AM?</t>
  </si>
  <si>
    <t>departurePlaceOtherChoices</t>
  </si>
  <si>
    <t>tripsIntro_save</t>
  </si>
  <si>
    <t>tripsIntro.save</t>
  </si>
  <si>
    <t>Continuer</t>
  </si>
  <si>
    <t>Continue</t>
  </si>
  <si>
    <t>tripsIntroOutro</t>
  </si>
  <si>
    <t>__Vos réponses serviront à évaluer l'usage et l'achalandage des réseaux routiers et de transport collectif et demeureront entièrement confidentielles__</t>
  </si>
  <si>
    <t>__Your answers will be used to assess the use and traffic of the road and public transit networks and will remain entirely confidential__</t>
  </si>
  <si>
    <t>visitedPlaces</t>
  </si>
  <si>
    <t>personVisitedPlacesTitle</t>
  </si>
  <si>
    <t>Lieux où {{nickname}} est allé{{gender:/e/(e)/(e)}} le {{assignedDate}}:
L'ordre chronologique doit être respecté.</t>
  </si>
  <si>
    <t>Places {{nickname}} went on {{assignedDate}}:
Chronological order must be respected (i.e. sequence matters).</t>
  </si>
  <si>
    <t>Lieux où vous êtes allé{{gender:/e/(e)/(e)}} le {{assignedDate}}:
L'ordre chronologique doit être respecté.</t>
  </si>
  <si>
    <t>Places you went on {{assignedDate}}:
Chronological order must be respected (i.e. sequence matters).</t>
  </si>
  <si>
    <t>personVisitedPlacesMap</t>
  </si>
  <si>
    <t>visitedPlacesMap</t>
  </si>
  <si>
    <t>Carte des déplacements de **{{nickname}}** le {{assignedDate}}:</t>
  </si>
  <si>
    <t>Map of **{{nickname}}**’s trips on {{assignedDate}}:</t>
  </si>
  <si>
    <t>Map of your trips on {{assignedDate}}:</t>
  </si>
  <si>
    <t>personVisitedPlaces</t>
  </si>
  <si>
    <t>household.persons.{_activePersonId}.journeys.{_activeJourneyId}.visitedPlaces</t>
  </si>
  <si>
    <t>visitedPlaceActivityCategory</t>
  </si>
  <si>
    <t>activityCategory</t>
  </si>
  <si>
    <t>visitedPlaceActivity</t>
  </si>
  <si>
    <t>activity</t>
  </si>
  <si>
    <t>visitedPlaceOnTheRoadDepartureType</t>
  </si>
  <si>
    <t>onTheRoadDepartureType</t>
  </si>
  <si>
    <t>Quel endroit était le point de départ des déplacements sur la route de {{nickname}}?</t>
  </si>
  <si>
    <t>Quel endroit était le point de départ de vos déplacements sur la route?</t>
  </si>
  <si>
    <t>visitedPlaceOnTheRoadArrivalType</t>
  </si>
  <si>
    <t>onTheRoadArrivalType</t>
  </si>
  <si>
    <t>À quel endroit {{nickname}} a-t-{{gender:il/elle/iel/il(-elle)}} terminé ses déplacements sur la route?</t>
  </si>
  <si>
    <t>À quel endroit avez-vous terminé vos déplacements sur la route?</t>
  </si>
  <si>
    <t>visitedPlaceAlreadyVisited</t>
  </si>
  <si>
    <t>alreadyVisitedBySelfOrAnotherHouseholdMember</t>
  </si>
  <si>
    <t>Avez-vous déjà localisé ce lieu?
__Dans l'entrevue de {{nickname}} ou dans celles des autres membres du ménage.__</t>
  </si>
  <si>
    <t>Did you previously locate this place on the map?
__In {{nickname}}'s travel diary or that of another household member.__</t>
  </si>
  <si>
    <t>alreadyVisitedPlaceCustomConditional</t>
  </si>
  <si>
    <t>visitedPlaceShortcut</t>
  </si>
  <si>
    <t>shortcut</t>
  </si>
  <si>
    <t>Veuillez choisir le lieu dans la liste des lieux déjà localisés:</t>
  </si>
  <si>
    <t>Please select this place from the list of previously located places:</t>
  </si>
  <si>
    <t>visitedPlaceName</t>
  </si>
  <si>
    <t>name</t>
  </si>
  <si>
    <t>visitedPlaceGeography</t>
  </si>
  <si>
    <t>geography</t>
  </si>
  <si>
    <t>Veuillez positionner le lieu sur la carte
__Naviguez, zoomez, et cliquez sur la carte pour localiser le lieu. Une fois localisé, vous pourrez déplacer le point pour davantage de précision. Vous pouvez également chercher le lieu en utilisant le nom ou l'adresse avec le bouton ci-dessous.__</t>
  </si>
  <si>
    <t>visitedPlacePreviousDepartureTime</t>
  </si>
  <si>
    <t>visitedPlaceArrivalTime</t>
  </si>
  <si>
    <t>arrivalTime</t>
  </si>
  <si>
    <t>{{nickname}} arrived {{atPlace}} at:</t>
  </si>
  <si>
    <t>Vous êtes arriv{{gender :é/ée/é(e)/é(e)}} {{atPlace}} à:</t>
  </si>
  <si>
    <t>You arrived {{atPlace}} at:</t>
  </si>
  <si>
    <t>visitedPlaceNextPlaceCategory</t>
  </si>
  <si>
    <t>nextPlaceCategory</t>
  </si>
  <si>
    <t>Après avoir été {{atPlace}}, {{nickname}} est…
__Si {{nickname}} a quitté le lieu après 4h du matin le lendemain, merci de considérer pour l'enquête qu'{{gender :il/elle/iel/il(-elle)}} y est rest{{gender :é/ée/é(e)/é(e)}} jusqu'au lendemain et de sélectionner la réponse adaptée.__</t>
  </si>
  <si>
    <t>After being {{atPlace}}, {{nickname}}…
__If {{nickname}} left this place after 4 AM the following day, please consider for the purposes of the survey that they stayed there until the next day and select the appropriate answer.__</t>
  </si>
  <si>
    <t>Après avoir été {{atPlace}}, vous êtes…
__Si vous avez quitté le lieu après 4h du matin le lendemain, merci de considérer pour l'enquête que vous y êtes rest{{gender :é/ée/é(e)/é(e)}} jusqu'au lendemain et de sélectionner la réponse adaptée.__</t>
  </si>
  <si>
    <t>After being {{atPlace}}, you…
__If you left this place after 4 AM the following day, please consider for the purposes of the survey that you stayed there until the next day and select the appropriate answer.__</t>
  </si>
  <si>
    <t>visitedPlaceDepartureTime</t>
  </si>
  <si>
    <t>departureTime</t>
  </si>
  <si>
    <t>{{nickname}} a quitté {{place}} à:</t>
  </si>
  <si>
    <t>{{nickname}} left {{place}} at:</t>
  </si>
  <si>
    <t>Vous avez quitté {{place}} à:</t>
  </si>
  <si>
    <t>You left {{place}} at:</t>
  </si>
  <si>
    <t>buttonSaveVisitedPlace</t>
  </si>
  <si>
    <t>visitedPlacesSave</t>
  </si>
  <si>
    <t>Confirmer</t>
  </si>
  <si>
    <t>Confirm</t>
  </si>
  <si>
    <t>buttonCancelVisitedPlace</t>
  </si>
  <si>
    <t>buttonDeleteVisitedPlace</t>
  </si>
  <si>
    <t>buttonVisitedPlacesConfirmNextSection</t>
  </si>
  <si>
    <t>visitedPlaces.save</t>
  </si>
  <si>
    <t>Confirmer les lieux et continuer</t>
  </si>
  <si>
    <t>Confirm locations and continue</t>
  </si>
  <si>
    <t>lastPlaceEnteredCustomConditional</t>
  </si>
  <si>
    <t>segments</t>
  </si>
  <si>
    <t>segmentsPersonTripsTitle</t>
  </si>
  <si>
    <t>personTripsTitle</t>
  </si>
  <si>
    <t>Déplacements de {{nickname}} le {{assignedDate}}</t>
  </si>
  <si>
    <t>Trips made by {{nickname}} on {{assignedDate}}</t>
  </si>
  <si>
    <t>Vos déplacements le {{assignedDate}}</t>
  </si>
  <si>
    <t>Trips you made on {{assignedDate}}</t>
  </si>
  <si>
    <t>segmentsMap</t>
  </si>
  <si>
    <t>Carte de vos déplacements le {{assignedDate}}:</t>
  </si>
  <si>
    <t>personTrips</t>
  </si>
  <si>
    <t>household.persons.{_activePersonId}.journeys.{_activeJourneyId}.trips</t>
  </si>
  <si>
    <t>segmentIntro</t>
  </si>
  <si>
    <t>segmentsIntro</t>
  </si>
  <si>
    <t>Veuillez indiquer tous les modes de transport utilisés pour effectuer ce déplacement (de {{originName}} vers {{destinationName}}), dans l'ordre chronologique:</t>
  </si>
  <si>
    <t>Mode de transport</t>
  </si>
  <si>
    <t>segmentModePre</t>
  </si>
  <si>
    <t>modePre</t>
  </si>
  <si>
    <t>segmentMode</t>
  </si>
  <si>
    <t>mode</t>
  </si>
  <si>
    <t>segmentPaidForParking</t>
  </si>
  <si>
    <t>paidForParking</t>
  </si>
  <si>
    <t>Stationnement payant?</t>
  </si>
  <si>
    <t>Paid parking</t>
  </si>
  <si>
    <t>segmentVehicleOccupancy</t>
  </si>
  <si>
    <t>vehicleOccupancy</t>
  </si>
  <si>
    <t>min=1
max=5
overMaxAllowed</t>
  </si>
  <si>
    <t>isSelfDeclaredCarDriverCustomConditional</t>
  </si>
  <si>
    <t>segmentDriver</t>
  </si>
  <si>
    <t>driver</t>
  </si>
  <si>
    <t>Qui conduisait ?</t>
  </si>
  <si>
    <t>Who drove?</t>
  </si>
  <si>
    <t>segmentBusLines</t>
  </si>
  <si>
    <t>busLines</t>
  </si>
  <si>
    <t>**Ligne(s) de bus utilisée(s)** (dans l'ordre chronologique)
__Pour chaque ligne utilisée, inscrivez le numéro de la ligne ou son nom puis sélectionnez-la dans la liste des résultats.__</t>
  </si>
  <si>
    <t>**Bus line(s) taken** (in chronological order)
__For each line, begin by typing the number or name, then select it from the results shown.__</t>
  </si>
  <si>
    <t>segmentBusLinesWarning</t>
  </si>
  <si>
    <t>busLinesWarning</t>
  </si>
  <si>
    <t>Certaines lignes de bus sélectionnés semblent invalides pour ce trajet aux heures mentionnées. Veuillez valider les lignes.</t>
  </si>
  <si>
    <t>Some bus line(s) seem invalid for this trip. Please validate the lines.</t>
  </si>
  <si>
    <t>optionalValidation</t>
  </si>
  <si>
    <t>segmentHasNextMode</t>
  </si>
  <si>
    <t>buttonSaveTrip</t>
  </si>
  <si>
    <t>trip.save</t>
  </si>
  <si>
    <t>Confirmer ce déplacement</t>
  </si>
  <si>
    <t>Confirm this trip</t>
  </si>
  <si>
    <t>buttonConfirmNextSection</t>
  </si>
  <si>
    <t>segments.save</t>
  </si>
  <si>
    <t>travelBehavior</t>
  </si>
  <si>
    <t>personNoWorkTripIntro</t>
  </si>
  <si>
    <t>**Vous n'avez déclaré aucun déplacement pour le travail** pour {{nickname}} le {{assignedDate}}</t>
  </si>
  <si>
    <t>**You didn't report any work trips** by {{nickname}} on {{assignedDate}}</t>
  </si>
  <si>
    <t>personNoWorkTripReason</t>
  </si>
  <si>
    <t>Select</t>
  </si>
  <si>
    <t>household.persons.{_activePersonId}.journeys.{_activeJourneyId}.noWorkTripReason</t>
  </si>
  <si>
    <t>Pour quelle raison?</t>
  </si>
  <si>
    <t>Why?</t>
  </si>
  <si>
    <t>shouldAskForNoWorkTripReasonCustomConditional</t>
  </si>
  <si>
    <t>noWorkTripReasonChoices</t>
  </si>
  <si>
    <t>personNoSchoolTripIntro</t>
  </si>
  <si>
    <t>noSchoolTripReasonChoices</t>
  </si>
  <si>
    <t>buttonTravelBehaviorConfirmNextSection</t>
  </si>
  <si>
    <t>travelBehavior.save</t>
  </si>
  <si>
    <t>householdMadeLongDistanceTripsInLastYear</t>
  </si>
  <si>
    <t>longDistance</t>
  </si>
  <si>
    <t>household.madeLongDistanceTripsInLastYear</t>
  </si>
  <si>
    <t>Au cours des **12 derniers mois**, est-ce que vous ou un des membres de votre ménage avez effectué au moins un déplacement, autre qu’à votre lieu habituel de travail ou d’études, qui **a franchi les limites de cette zone grise** (plus de 40 km du domicile)?</t>
  </si>
  <si>
    <t>In the **last 12 months**, did you or a member of your household make any trips other than to your usual place of work or study, **beyond the limits of the grey area** (more than 40 km from home)?</t>
  </si>
  <si>
    <t>Au cours des **12 derniers mois**, avez-vous effectué au moins un déplacement, autre qu’à votre lieu habituel de travail ou d’études, qui **a franchi les limites de cette zone grise** (plus de 40 km du domicile)?</t>
  </si>
  <si>
    <t>In the **last 12 months**, did you make any trips other than to your usual place of work or study, **beyond the limits of the grey area**(more than 40 km from home)?</t>
  </si>
  <si>
    <t>householdLongDistanceIntroMap</t>
  </si>
  <si>
    <t>householdLongDistanceTripsSeptemberDecember</t>
  </si>
  <si>
    <t>household.longDistanceTripsSeptemberDecember</t>
  </si>
  <si>
    <t>À quelle fréquence vous ou un des membres de votre ménage avez-vous effectué des déplacements longue distance (plus de 40 km) de **septembre à décembre 2024**?</t>
  </si>
  <si>
    <t>How often did you or a member of your household make long-distance trips (more than 40 km) between **September and December 2024**?</t>
  </si>
  <si>
    <t>How often did you make long-distance trips (more than 40 km) between **September and December 2024**?</t>
  </si>
  <si>
    <t>madeLongDistanceTripsConditional</t>
  </si>
  <si>
    <t>longDistanceFrequencyChoices</t>
  </si>
  <si>
    <t>householdLongDistanceTripsJanuaryApril</t>
  </si>
  <si>
    <t>household.longDistanceTripsJanuaryApril</t>
  </si>
  <si>
    <t>À quelle fréquence vous ou un des membres de votre ménage avez-vous effectué des déplacements longue distance (plus de 40 km) de **janvier à avril 2025**?</t>
  </si>
  <si>
    <t>householdLongDistanceTripsMayAugust</t>
  </si>
  <si>
    <t>household.longDistanceTripsMayAugust</t>
  </si>
  <si>
    <t>À quelle fréquence vous ou un des membres de votre ménage avez-vous effectué des déplacements longue distance (plus de 40 km) de **mai à août 2025**?</t>
  </si>
  <si>
    <t>wouldLikeToParticipateToLongDistanceSurvey</t>
  </si>
  <si>
    <t>household.wouldLikeToParticipateToLongDistanceSurvey</t>
  </si>
  <si>
    <t>Seriez-vous intéressés à **être recontactés** pour une enquête plus approfondie sur les **déplacements interurbains**?</t>
  </si>
  <si>
    <t>wouldLikeToParticipateToLongDistanceSurveyContactEmail</t>
  </si>
  <si>
    <t>household.wouldLikeToParticipateToLongDistanceSurveyContactEmail</t>
  </si>
  <si>
    <t>Veuillez fournir une **adresse courriel** de contact pour participer à une enquête sur les **déplacements interurbains**</t>
  </si>
  <si>
    <t>wantToParticipateInLongDistanceSurveyConditional</t>
  </si>
  <si>
    <t>emailValidation</t>
  </si>
  <si>
    <t>buttonCompleteLongDistanceSection</t>
  </si>
  <si>
    <t>householdOwnership</t>
  </si>
  <si>
    <t>end</t>
  </si>
  <si>
    <t>household.ownership</t>
  </si>
  <si>
    <t>Est-ce que votre ménage est locataire ou propriétaire de votre logement?</t>
  </si>
  <si>
    <t>Does your household rent or own your home?</t>
  </si>
  <si>
    <t>householdOwnershipChoices</t>
  </si>
  <si>
    <t>householdIncome</t>
  </si>
  <si>
    <t>household.income</t>
  </si>
  <si>
    <t>householdIncomeChoices</t>
  </si>
  <si>
    <t>wouldLikeToParticipateInOtherSurveysChaireMobilite</t>
  </si>
  <si>
    <t>end.wouldLikeToParticipateInOtherSurveysChaireMobilite</t>
  </si>
  <si>
    <t>wouldLikeToParticipateInOtherSurveysChaireMobiliteContactEmail</t>
  </si>
  <si>
    <t>end.wouldLikeToParticipateInOtherSurveysChaireMobiliteContactEmail</t>
  </si>
  <si>
    <t>Please provide the **email address** where you can be reached to participate in other studies by the Chaire Mobilite.</t>
  </si>
  <si>
    <t>wantToParticipateInOtherSurveysChaireMobiliteConditional</t>
  </si>
  <si>
    <t>householdCommentsOnSurvey</t>
  </si>
  <si>
    <t>Text</t>
  </si>
  <si>
    <t>end.commentsOnSurvey</t>
  </si>
  <si>
    <t>Your **comments and suggestions** about the survey
__Optional__</t>
  </si>
  <si>
    <t>optionalIntroText</t>
  </si>
  <si>
    <t>The **next questions are optional** and are added for research purposes. You can complete the interview without answering them.</t>
  </si>
  <si>
    <t>householdPluginHybridCarNumber</t>
  </si>
  <si>
    <t>household.pluginHybridCarNumber</t>
  </si>
  <si>
    <t>min=0
max=household.carNumber</t>
  </si>
  <si>
    <t>householdHasCars</t>
  </si>
  <si>
    <t>householdElectricCarNumber</t>
  </si>
  <si>
    <t>household.electricCarNumber</t>
  </si>
  <si>
    <t>endInterestOfTheSurvey</t>
  </si>
  <si>
    <t>Range</t>
  </si>
  <si>
    <t>end.interestOfTheSurvey</t>
  </si>
  <si>
    <t>How **interesting** was this survey to you?
__Optional__</t>
  </si>
  <si>
    <t>rangeOptionalOrValidCustomValidation</t>
  </si>
  <si>
    <t>sliderNotAtAllToVeryInteresting</t>
  </si>
  <si>
    <t>endTimeSpentAnswering</t>
  </si>
  <si>
    <t>end.timeSpentAnswering</t>
  </si>
  <si>
    <t>How much **time** do you think you **spent answering** this survey (**in minutes**)?
__Optional__</t>
  </si>
  <si>
    <t>endDurationOfTheSurvey</t>
  </si>
  <si>
    <t>end.durationOfTheSurvey</t>
  </si>
  <si>
    <t>Do you feel that the **length of the survey was too short, about right, or too long**?
__Optional__</t>
  </si>
  <si>
    <t>sliderTooShortToTooLong</t>
  </si>
  <si>
    <t>endDifficultyOfTheSurvey</t>
  </si>
  <si>
    <t>end.difficultyOfTheSurvey</t>
  </si>
  <si>
    <t>How **easy** or **difficult** was it for you to answer the questions in this survey?
__Optional__</t>
  </si>
  <si>
    <t>sliderVeryEasyToVeryDifficult</t>
  </si>
  <si>
    <t>endBurdenOfTheSurvey</t>
  </si>
  <si>
    <t>end.burdenOfTheSurvey</t>
  </si>
  <si>
    <t>How **burdensome (demanding)** did you find this survey to be?
__Optional__</t>
  </si>
  <si>
    <t>sliderNotAtAllToVeryBurdensome</t>
  </si>
  <si>
    <t>endConsideredAbandoningSurvey</t>
  </si>
  <si>
    <t>end.consideredAbandoningSurvey</t>
  </si>
  <si>
    <t>Have you considered, at any point, **abandoning the survey**?
__Optional__</t>
  </si>
  <si>
    <t>buttonCompleteInterviewWithCompleteSection</t>
  </si>
  <si>
    <t>Terminer l’entrevue</t>
  </si>
  <si>
    <t>Complete the interview</t>
  </si>
  <si>
    <t>completedText</t>
  </si>
  <si>
    <t>completed</t>
  </si>
  <si>
    <t>conditional_name</t>
  </si>
  <si>
    <t>logical_operator</t>
  </si>
  <si>
    <t>comparison_operator</t>
  </si>
  <si>
    <t>value</t>
  </si>
  <si>
    <t>parentheses</t>
  </si>
  <si>
    <t>hasHouseholdSize1Conditional</t>
  </si>
  <si>
    <t>household.size</t>
  </si>
  <si>
    <t>===</t>
  </si>
  <si>
    <t>&gt;=</t>
  </si>
  <si>
    <t>household.atLeastOnePersonWithDisability</t>
  </si>
  <si>
    <t>yes</t>
  </si>
  <si>
    <t>||</t>
  </si>
  <si>
    <t>household.bicycleNumber</t>
  </si>
  <si>
    <t>${currentPerson}.sexAssignedAtBirth</t>
  </si>
  <si>
    <t>preferNotToAnswer</t>
  </si>
  <si>
    <t>ifAge3to5Conditional</t>
  </si>
  <si>
    <t>${currentPerson}.age</t>
  </si>
  <si>
    <t>&amp;&amp;</t>
  </si>
  <si>
    <t>&lt;=</t>
  </si>
  <si>
    <t>ifAge4to13Conditional</t>
  </si>
  <si>
    <t>ifAge4to15Conditional</t>
  </si>
  <si>
    <t>ifAge5OrLessConditional</t>
  </si>
  <si>
    <t>ifAge11OrMoreConditional</t>
  </si>
  <si>
    <t>null</t>
  </si>
  <si>
    <t>ifAge16OrLessConditional</t>
  </si>
  <si>
    <t>ifAge40OrMoreConditional</t>
  </si>
  <si>
    <t>${currentPerson}.drivingLicenseOwnership</t>
  </si>
  <si>
    <t>${currentPerson}.occupation</t>
  </si>
  <si>
    <t>fullTimeWorker</t>
  </si>
  <si>
    <t>partTimeWorker</t>
  </si>
  <si>
    <t>workerAndStudent</t>
  </si>
  <si>
    <t>fullTimeStudent</t>
  </si>
  <si>
    <t>partTimeStudent</t>
  </si>
  <si>
    <t>${currentPerson}.workPlaceType</t>
  </si>
  <si>
    <t>onLocation</t>
  </si>
  <si>
    <t>hybrid</t>
  </si>
  <si>
    <t>onTheRoadWithUsualPlace</t>
  </si>
  <si>
    <t>${currentPerson}.workPlaceTypeBeforeLeave</t>
  </si>
  <si>
    <t>household.carNumber</t>
  </si>
  <si>
    <t>onTheRoadUsualWorkplace</t>
  </si>
  <si>
    <t>remote</t>
  </si>
  <si>
    <t>parentalOrSickLeave</t>
  </si>
  <si>
    <t>${currentPerson}.workerTypeBeforeLeave</t>
  </si>
  <si>
    <t>fullTime</t>
  </si>
  <si>
    <t>partTime</t>
  </si>
  <si>
    <t>abbreviation</t>
  </si>
  <si>
    <t>title_fr</t>
  </si>
  <si>
    <t>title_en</t>
  </si>
  <si>
    <t>in_nav</t>
  </si>
  <si>
    <t>template</t>
  </si>
  <si>
    <t>has_preload</t>
  </si>
  <si>
    <t>parent_section</t>
  </si>
  <si>
    <t>h_</t>
  </si>
  <si>
    <t>Domicile</t>
  </si>
  <si>
    <t>Home</t>
  </si>
  <si>
    <t>hh_</t>
  </si>
  <si>
    <t>Ménage</t>
  </si>
  <si>
    <t>Household</t>
  </si>
  <si>
    <t>personsTrips</t>
  </si>
  <si>
    <t>pt_</t>
  </si>
  <si>
    <t>Déplacements</t>
  </si>
  <si>
    <t>Trips introduction</t>
  </si>
  <si>
    <t>sp_</t>
  </si>
  <si>
    <t>Sélection du membre du ménage</t>
  </si>
  <si>
    <t>Household member selection</t>
  </si>
  <si>
    <t>ti_</t>
  </si>
  <si>
    <t>Introduction aux déplacements</t>
  </si>
  <si>
    <t>vp_</t>
  </si>
  <si>
    <t>s_</t>
  </si>
  <si>
    <t>Modes de transport</t>
  </si>
  <si>
    <t>Modes of transport</t>
  </si>
  <si>
    <t>tb_</t>
  </si>
  <si>
    <t>Mobilité</t>
  </si>
  <si>
    <t>Travel behavior</t>
  </si>
  <si>
    <t>ld_</t>
  </si>
  <si>
    <t>Déplacements longue distance</t>
  </si>
  <si>
    <t>Long distance trips</t>
  </si>
  <si>
    <t>e_</t>
  </si>
  <si>
    <t>Fin</t>
  </si>
  <si>
    <t>End</t>
  </si>
  <si>
    <t>c_</t>
  </si>
  <si>
    <t>Questionnaire complété</t>
  </si>
  <si>
    <t>Survey completed</t>
  </si>
  <si>
    <t>choicesName</t>
  </si>
  <si>
    <t>spreadChoicesName</t>
  </si>
  <si>
    <t>hidden</t>
  </si>
  <si>
    <t>Oui</t>
  </si>
  <si>
    <t>Yes</t>
  </si>
  <si>
    <t>no</t>
  </si>
  <si>
    <t>Non</t>
  </si>
  <si>
    <t>No</t>
  </si>
  <si>
    <t>Other (specify)</t>
  </si>
  <si>
    <t>otherWithoutSpecify</t>
  </si>
  <si>
    <t>Autre</t>
  </si>
  <si>
    <t>Other</t>
  </si>
  <si>
    <t>dontKnow</t>
  </si>
  <si>
    <t>Je ne sais pas</t>
  </si>
  <si>
    <t>I don't know</t>
  </si>
  <si>
    <t>Je préfère ne pas répondre</t>
  </si>
  <si>
    <t>female</t>
  </si>
  <si>
    <t>Femme</t>
  </si>
  <si>
    <t>male</t>
  </si>
  <si>
    <t>Homme</t>
  </si>
  <si>
    <t>Woman</t>
  </si>
  <si>
    <t>Man</t>
  </si>
  <si>
    <t>Oui, à temps plein (30h et plus/semaine)</t>
  </si>
  <si>
    <t>Oui, à temps partiel (moins de 30h/semaine)</t>
  </si>
  <si>
    <t>Yes, part time (less than 30h/week)</t>
  </si>
  <si>
    <t>Oui, à temps plein</t>
  </si>
  <si>
    <t>Yes, full time</t>
  </si>
  <si>
    <t>Oui, à temps partiel</t>
  </si>
  <si>
    <t>Yes, part time</t>
  </si>
  <si>
    <t>kindergarten</t>
  </si>
  <si>
    <t>Garderie/CPE</t>
  </si>
  <si>
    <t>primarySchool</t>
  </si>
  <si>
    <t>École primaire</t>
  </si>
  <si>
    <t>Primary school</t>
  </si>
  <si>
    <t>secondarySchool</t>
  </si>
  <si>
    <t>École secondaire</t>
  </si>
  <si>
    <t>schoolAtHome</t>
  </si>
  <si>
    <t>École à la maison</t>
  </si>
  <si>
    <t>atHome</t>
  </si>
  <si>
    <t>À la maison</t>
  </si>
  <si>
    <t>At home</t>
  </si>
  <si>
    <t>collegeCegepDepAep</t>
  </si>
  <si>
    <t>CEGEP / Collège / DEP / AEP</t>
  </si>
  <si>
    <t>CEGEP / College / DEP / AEP</t>
  </si>
  <si>
    <t>Travail à temps plein (30h et plus/semaine)</t>
  </si>
  <si>
    <t>True</t>
  </si>
  <si>
    <t>Travail à temps partiel (moins de 30h/semaine)</t>
  </si>
  <si>
    <t>Employed part-time (less than 30h/week)</t>
  </si>
  <si>
    <t>Travail et études</t>
  </si>
  <si>
    <t>Work and studies</t>
  </si>
  <si>
    <t>Études à temps plein</t>
  </si>
  <si>
    <t>Full-time student</t>
  </si>
  <si>
    <t>Études à temps partiel</t>
  </si>
  <si>
    <t>Part-time student</t>
  </si>
  <si>
    <t>retired</t>
  </si>
  <si>
    <t>unemployed</t>
  </si>
  <si>
    <t>En chômage / en recherche d'emploi</t>
  </si>
  <si>
    <t>Congé de maladie ou congé parental</t>
  </si>
  <si>
    <t>Sick leave or parental leave</t>
  </si>
  <si>
    <t>longTermDisability</t>
  </si>
  <si>
    <t>Invalidité de longue durée</t>
  </si>
  <si>
    <t>Long-term disability</t>
  </si>
  <si>
    <t>volunteer</t>
  </si>
  <si>
    <t>Bénévole</t>
  </si>
  <si>
    <t>Volunteer</t>
  </si>
  <si>
    <t>Prefer not to answer</t>
  </si>
  <si>
    <t>transitPass</t>
  </si>
  <si>
    <t>Passe ou titre mensuel ou annuel</t>
  </si>
  <si>
    <t>tickets</t>
  </si>
  <si>
    <t>Titres ou billets individuels</t>
  </si>
  <si>
    <t>Oui, travail au lieu fixe en présentiel en tout temps</t>
  </si>
  <si>
    <t>Oui, travail en mode hybride (télétravail et en présentiel)</t>
  </si>
  <si>
    <t>Yes, hybrid work (remote and on-site)</t>
  </si>
  <si>
    <t>onTheRoadWithoutUsualPlace</t>
  </si>
  <si>
    <t>Non, travail sur la route avec départ du domicile</t>
  </si>
  <si>
    <t>No, work on the road departing from home</t>
  </si>
  <si>
    <t>Non, travail à partir du domicile ou à distance</t>
  </si>
  <si>
    <t>Oui, études au lieu fixe en présentiel en tout temps</t>
  </si>
  <si>
    <t>Oui, études en mode hybride (télé-études et en présentiel)</t>
  </si>
  <si>
    <t>Yes, hybrid studies (remote and on-site)</t>
  </si>
  <si>
    <t>Non, études à partir du domicile ou à distance</t>
  </si>
  <si>
    <t>00_00</t>
  </si>
  <si>
    <t>Jamais (0)</t>
  </si>
  <si>
    <t>Never (0)</t>
  </si>
  <si>
    <t>01_03</t>
  </si>
  <si>
    <t>Quelques fois durant la période (1 à 3)</t>
  </si>
  <si>
    <t>A few times during the period (1 to 3)</t>
  </si>
  <si>
    <t>04_12</t>
  </si>
  <si>
    <t>Quelques fois par mois (4 à 12)</t>
  </si>
  <si>
    <t>13_99</t>
  </si>
  <si>
    <t>Une à plusieurs fois par semaine (13 ou plus)</t>
  </si>
  <si>
    <t>100000_149999</t>
  </si>
  <si>
    <t>150000_199999</t>
  </si>
  <si>
    <t>200 000 $ et plus</t>
  </si>
  <si>
    <t>refusal</t>
  </si>
  <si>
    <t>tenant</t>
  </si>
  <si>
    <t>Locataire</t>
  </si>
  <si>
    <t>Tenant</t>
  </si>
  <si>
    <t>owner</t>
  </si>
  <si>
    <t>Propriétaire</t>
  </si>
  <si>
    <t>Owner</t>
  </si>
  <si>
    <t>otherParentHome</t>
  </si>
  <si>
    <t>**Domicile de l'autre parent ou tuteur**</t>
  </si>
  <si>
    <t>**Home of the other parent or guardian**</t>
  </si>
  <si>
    <t>workedOvernight</t>
  </si>
  <si>
    <t>**Travaillait de nuit**</t>
  </si>
  <si>
    <t>**Worked overnight**</t>
  </si>
  <si>
    <t>secondaryHome</t>
  </si>
  <si>
    <t>**Résidence secondaire** (chalet ou autre)</t>
  </si>
  <si>
    <t>**Secondary residence** (cottage or other)</t>
  </si>
  <si>
    <t>sleptAtFriends</t>
  </si>
  <si>
    <t>Passait la nuit chez **ami, copine/copain ou famille**</t>
  </si>
  <si>
    <t>restaurant</t>
  </si>
  <si>
    <t>Était à un ou revenait d'un **restaurant ou bar**</t>
  </si>
  <si>
    <t>hotelForWork</t>
  </si>
  <si>
    <t>Hôtel ou autre lieu pour une **conférence / travail**</t>
  </si>
  <si>
    <t>hotelForVacation</t>
  </si>
  <si>
    <t>Hôtel ou autre lieu en **vacances**</t>
  </si>
  <si>
    <t>studying</t>
  </si>
  <si>
    <t>**Écoles / lieu d’études**: terminait des travaux ou y couchait</t>
  </si>
  <si>
    <t>**School / place of study**: studied or slept there</t>
  </si>
  <si>
    <t>onTheRoadArrivalTypeChoices</t>
  </si>
  <si>
    <t>usualWorkPlace</t>
  </si>
  <si>
    <t>Lieu de travail habituel</t>
  </si>
  <si>
    <t>Usual work place</t>
  </si>
  <si>
    <t>Autre lieu</t>
  </si>
  <si>
    <t>Other location</t>
  </si>
  <si>
    <t>stayedThereUntilTheNextDay</t>
  </si>
  <si>
    <t>{{nickname}} a complété ses déplacements sur la route après 4:00 du matin le lendemain</t>
  </si>
  <si>
    <t>{{nickname}} completed {{gender:his/her/their/their}} work on the road trips after 4AM the next day</t>
  </si>
  <si>
    <t>J'ai complété mes déplacements sur la route après 4:00 du matin le lendemain</t>
  </si>
  <si>
    <t>I completed my work on the road trips after 4AM the next day</t>
  </si>
  <si>
    <t>isLastPlaceCustomConditional</t>
  </si>
  <si>
    <t>onDemandChoices</t>
  </si>
  <si>
    <t>pickupAtOrigin</t>
  </si>
  <si>
    <t>Oui, il est venu chercher {{nickname}} à son lieu de départ</t>
  </si>
  <si>
    <t>Yes, it picked {{nickname}} up at their departure location</t>
  </si>
  <si>
    <t>Oui, il est venu me chercher à mon lieu de départ</t>
  </si>
  <si>
    <t>Yes, it picked me up at my departure location</t>
  </si>
  <si>
    <t>joinedStop</t>
  </si>
  <si>
    <t>Oui, {{nickname}} a rejoint un arrêt</t>
  </si>
  <si>
    <t>Yes, {{nickname}} went to a stop</t>
  </si>
  <si>
    <t>Oui, j'ai rejoint un arrêt</t>
  </si>
  <si>
    <t>Yes, I went to a stop</t>
  </si>
  <si>
    <t>remoteWorkOrWorkAtHome</t>
  </si>
  <si>
    <t>Télétravail / travail à la maison</t>
  </si>
  <si>
    <t>Remote work / work from home</t>
  </si>
  <si>
    <t>onStrike</t>
  </si>
  <si>
    <t>En grève</t>
  </si>
  <si>
    <t>On strike</t>
  </si>
  <si>
    <t>leaveSicknessPersonalReason</t>
  </si>
  <si>
    <t>Congé (maladie, personnel, autre)</t>
  </si>
  <si>
    <t>Leave (sick, personal, other)</t>
  </si>
  <si>
    <t>noWork</t>
  </si>
  <si>
    <t>Pas de travail prévu</t>
  </si>
  <si>
    <t>No work planned</t>
  </si>
  <si>
    <t>distanceLearning</t>
  </si>
  <si>
    <t>Cours à distance</t>
  </si>
  <si>
    <t>Distance learning</t>
  </si>
  <si>
    <t>schoolWasClosed</t>
  </si>
  <si>
    <t>noneOrPrimaryEducation</t>
  </si>
  <si>
    <t>Aucun certificat, diplôme ou degré</t>
  </si>
  <si>
    <t>No certificate, diploma or degree</t>
  </si>
  <si>
    <t>secondaryEducation</t>
  </si>
  <si>
    <t>Diplôme d'études secondaires ou attestation d'équivalence</t>
  </si>
  <si>
    <t>postSecondaryNonTertiaryEducation</t>
  </si>
  <si>
    <t>Diplôme d'apprenti ou d'une école de métiers</t>
  </si>
  <si>
    <t>Apprenticeship or trades certificate or diploma</t>
  </si>
  <si>
    <t>shortCycleTertiaryEducation</t>
  </si>
  <si>
    <t>Diplôme d'un cégep ou collège</t>
  </si>
  <si>
    <t>diplomaBelowBachelor</t>
  </si>
  <si>
    <t>Certificat ou diplôme universitaire inférieur au baccalauréat</t>
  </si>
  <si>
    <t>University certificate or diploma below bachelor level</t>
  </si>
  <si>
    <t>bachelorOrHigher</t>
  </si>
  <si>
    <t>Certificat ou diplôme universitaire niveau baccalauréat ou supérieur</t>
  </si>
  <si>
    <t>workPlaceBeforeLeaveTypeChoices</t>
  </si>
  <si>
    <t>Oui, {{nickname}} travaillait au lieu fixe en présentiel en tout temps</t>
  </si>
  <si>
    <t>Yes, {{nickname}} worked always on-site at fixed location</t>
  </si>
  <si>
    <t>Oui, je travaillais au lieu fixe en présentiel en tout temps</t>
  </si>
  <si>
    <t>Yes, I worked always on-site at fixed location</t>
  </si>
  <si>
    <t>Oui, {{nickname}} travaillait en mode hybride (télétravail et en présentiel)</t>
  </si>
  <si>
    <t>Yes, {{nickname}} did hybrid work (remote and on-site)</t>
  </si>
  <si>
    <t>Oui, je travaillais en mode hybride (télétravail et en présentiel)</t>
  </si>
  <si>
    <t>Yes, I did hybrid work (remote and on-site)</t>
  </si>
  <si>
    <t>Yes, {{nickname}} worked on the road departing from a fixed location (ex: garage, office, station, restaurant, etc.)</t>
  </si>
  <si>
    <t>Yes, I worked on the road departing from a fixed location (ex: garage, office, station, restaurant, etc.)</t>
  </si>
  <si>
    <t>Non, {{nickname}} travaillait sur la route avec départ du domicile</t>
  </si>
  <si>
    <t>No, {{nickname}} worked on the road departing from home</t>
  </si>
  <si>
    <t>Non, je travaillais sur la route avec départ du domicile</t>
  </si>
  <si>
    <t>No, I worked on the road departing from home</t>
  </si>
  <si>
    <t>Non, {{nickname}} travaillait à partir du domicile ou à distance</t>
  </si>
  <si>
    <t>No, {{nickname}} worked from home or from elsewhere</t>
  </si>
  <si>
    <t>Non, je travaillais à partir du domicile ou à distance</t>
  </si>
  <si>
    <t>No, I worked from home or from elsewhere</t>
  </si>
  <si>
    <t>inputRangeName</t>
  </si>
  <si>
    <t>labelFrMin</t>
  </si>
  <si>
    <t>labelFrMiddle</t>
  </si>
  <si>
    <t>labelFrMax</t>
  </si>
  <si>
    <t>labelEnMin</t>
  </si>
  <si>
    <t>labelEnMiddle</t>
  </si>
  <si>
    <t>labelEnMax</t>
  </si>
  <si>
    <t>minValue</t>
  </si>
  <si>
    <t>maxValue</t>
  </si>
  <si>
    <t>unitFr</t>
  </si>
  <si>
    <t>unitEn</t>
  </si>
  <si>
    <t>input_color</t>
  </si>
  <si>
    <t>Trop court</t>
  </si>
  <si>
    <t>Juste comme il faut</t>
  </si>
  <si>
    <t>Trop long</t>
  </si>
  <si>
    <t>Too short</t>
  </si>
  <si>
    <t>Just right</t>
  </si>
  <si>
    <t>Too long</t>
  </si>
  <si>
    <t>%</t>
  </si>
  <si>
    <t>green-yellow-red</t>
  </si>
  <si>
    <t>Pas du tout</t>
  </si>
  <si>
    <t>Neutre</t>
  </si>
  <si>
    <t>Très intéressante</t>
  </si>
  <si>
    <t>Not at all</t>
  </si>
  <si>
    <t>Neutral</t>
  </si>
  <si>
    <t>Very interesting</t>
  </si>
  <si>
    <t>red-yellow-green</t>
  </si>
  <si>
    <t>Très facile</t>
  </si>
  <si>
    <t>Modérément difficile</t>
  </si>
  <si>
    <t>Très difficile</t>
  </si>
  <si>
    <t>Very easy</t>
  </si>
  <si>
    <t>Moderately difficult</t>
  </si>
  <si>
    <t>Very difficult</t>
  </si>
  <si>
    <t>Modérément pénible</t>
  </si>
  <si>
    <t>Très pénible</t>
  </si>
  <si>
    <t>Moderately burdensome</t>
  </si>
  <si>
    <t>Very burdensome</t>
  </si>
  <si>
    <t>addGroupedObject</t>
  </si>
  <si>
    <t>Ajouter une personne manquante</t>
  </si>
  <si>
    <t>Add a missing person</t>
  </si>
  <si>
    <t>deleteThisGroupedObject</t>
  </si>
  <si>
    <t>Supprimer cette personne</t>
  </si>
  <si>
    <t>Delete this person</t>
  </si>
  <si>
    <t>segmentsIntroOnTheRoad</t>
  </si>
  <si>
    <t>segmentsIntroStroll</t>
  </si>
  <si>
    <t>junctionGeographyRefreshGeocodingLabel</t>
  </si>
  <si>
    <t>Chercher le lieu de jonction à partir du nom ou de l'adresse</t>
  </si>
  <si>
    <t>Search the junction location using the place name or address</t>
  </si>
  <si>
    <t>driverFamily</t>
  </si>
  <si>
    <t>Ami ou famille</t>
  </si>
  <si>
    <t>Friend or family</t>
  </si>
  <si>
    <t>driverColleague</t>
  </si>
  <si>
    <t>Un collègue de travail ou d'études</t>
  </si>
  <si>
    <t>A work colleague or fellow classmate</t>
  </si>
  <si>
    <t>driverTaxi</t>
  </si>
  <si>
    <t>Chauffeur Taxi ou Uber</t>
  </si>
  <si>
    <t>Taxi or Uber driver</t>
  </si>
  <si>
    <t>driverTransitTaxi</t>
  </si>
  <si>
    <t>Chauffeur Taxi collectif / transport à la demande</t>
  </si>
  <si>
    <t>Taxibus / On-demand transport driver</t>
  </si>
  <si>
    <t>driverParaTransit</t>
  </si>
  <si>
    <t>Chauffeur Transport adapté</t>
  </si>
  <si>
    <t>Para-transit driver</t>
  </si>
  <si>
    <t>driverCarpool</t>
  </si>
  <si>
    <t>Carsharing driver (ex: Amigo Express, Kangaride)</t>
  </si>
  <si>
    <t>driverOther</t>
  </si>
  <si>
    <t>Une autre personne</t>
  </si>
  <si>
    <t>Another person</t>
  </si>
  <si>
    <t>driverDontKnow</t>
  </si>
  <si>
    <t>driverFamilyMemberSeq</t>
  </si>
  <si>
    <t>Personne {{sequence}}</t>
  </si>
  <si>
    <t>Person {{sequence}}</t>
  </si>
  <si>
    <t>PreviousDepartureTime</t>
  </si>
  <si>
    <t>À quelle heure {{nickname}} a-t-{{gender:il/elle/iel/il(-elle)}} quitté le lieu précédent ({{previousVisitedPlaceDescription}})?</t>
  </si>
  <si>
    <t>At what time did {{nickname}} leave the previous location ({{previousVisitedPlaceDescription}})?</t>
  </si>
  <si>
    <t>À quelle heure avez-vous quitté le lieu précédent ({{previousVisitedPlaceDescription}})?</t>
  </si>
  <si>
    <t>At what time did you leave the previous location ({{previousVisitedPlaceDescription}})?</t>
  </si>
  <si>
    <t>PreviousDepartureTime_home_workUsual</t>
  </si>
  <si>
    <t>À quelle heure {{nickname}} a-t-{{gender:il/elle/iel/il(-elle)}} quitté le domicile pour aller au travail?</t>
  </si>
  <si>
    <t>At what time did {{nickname}} leave home before going to work?</t>
  </si>
  <si>
    <t>À quelle heure avez-vous quitté le domicile pour aller au travail?</t>
  </si>
  <si>
    <t>At what time did you leave home before going to work?</t>
  </si>
  <si>
    <t>PreviousDepartureTime_home_schoolUsual</t>
  </si>
  <si>
    <t>À quelle heure {{nickname}} a-t-{{gender:il/elle/iel/il(-elle)}} quitté le domicile pour aller au lieu d'études/école?</t>
  </si>
  <si>
    <t>At what time did {{nickname}} leave home before going to school?</t>
  </si>
  <si>
    <t>À quelle heure avez-vous quitté le domicile pour aller au lieu d'études/école?</t>
  </si>
  <si>
    <t>At what time did you leave home before going to school?</t>
  </si>
  <si>
    <t>PreviousDepartureTime_home_other</t>
  </si>
  <si>
    <t>À quelle heure {{nickname}} a-t-{{gender:il/elle/iel/il(-elle)}} quitté le domicile pour aller à cet endroit ({{visitedPlaceDescription}})?</t>
  </si>
  <si>
    <t>At what time did {{nickname}} leave home before going to this place ({{visitedPlaceDescription}})?</t>
  </si>
  <si>
    <t>À quelle heure avez-vous quitté le domicile pour aller à cet endroit ({{visitedPlaceDescription}})?</t>
  </si>
  <si>
    <t>At what time did you leave home before going to this place ({{visitedPlaceDescription}})?</t>
  </si>
  <si>
    <t>PreviousDepartureTime_home_workOnTheRoad</t>
  </si>
  <si>
    <t>À quelle heure {{nickname}} a-t-{{gender:il/elle/iel/il(-elle)}} quitté le domicile avant de débuter ses déplacements sur la route?</t>
  </si>
  <si>
    <t>At what time did {{nickname}} leave home before starting {{gender:his/her/their/their}} on the road trips?</t>
  </si>
  <si>
    <t>À quelle heure avez-vous quitté le domicile avant de débuter vos déplacements sur la route?</t>
  </si>
  <si>
    <t>At what time did you leave home before starting your on the road trips?</t>
  </si>
  <si>
    <t>PreviousDepartureTime_usualWorkPlace_workOnTheRoad</t>
  </si>
  <si>
    <t>À quelle heure {{nickname}} a-t-{{gender:il/elle/iel/il(-elle)}} quitté son lieu de travail habituel avant de débuter ses déplacements sur la route?</t>
  </si>
  <si>
    <t>At what time did {{nickname}} leave {{gender:his/her/their/their}} usual work place before starting {{gender :his/her/their/their}} on the road trips?</t>
  </si>
  <si>
    <t>À quelle heure avez-vous quitté votre lieu de travail habituel avant de débuter vos déplacements sur la route?</t>
  </si>
  <si>
    <t>At what time did you leave your usual work place before starting your on the road trips?</t>
  </si>
  <si>
    <t>Activity</t>
  </si>
  <si>
    <t>Spécifier :</t>
  </si>
  <si>
    <t>Specify :</t>
  </si>
  <si>
    <t>ActivityCategoryFirstLocation</t>
  </si>
  <si>
    <t>Activité principale au lieu de départ de la journée</t>
  </si>
  <si>
    <t>Main activity carried out at the starting point of the day</t>
  </si>
  <si>
    <t>ActivityCategoryAfterHome</t>
  </si>
  <si>
    <t>Activité principale au premier lieu visité dans la journée après avoir quitté le domicile</t>
  </si>
  <si>
    <t>Main activity carried out at the first location visited after leaving home</t>
  </si>
  <si>
    <t>ActivityCategory</t>
  </si>
  <si>
    <t>Activité principale à ce lieu</t>
  </si>
  <si>
    <t>Main activity carried out at this location</t>
  </si>
  <si>
    <t>VisitedPlaceSequence</t>
  </si>
  <si>
    <t>Lieu {{count}}</t>
  </si>
  <si>
    <t>Location #{{count}}</t>
  </si>
  <si>
    <t>Lieu de départ de la journée</t>
  </si>
  <si>
    <t>Departure place for this day</t>
  </si>
  <si>
    <t>ConfirmDeleteVisitedPlace</t>
  </si>
  <si>
    <t>Confirmez-vous que vous voulez retirer ce lieu?</t>
  </si>
  <si>
    <t>Do you confirm that you want to remove this location?</t>
  </si>
  <si>
    <t>LocationNameAddress</t>
  </si>
  <si>
    <t>Nom ou adresse du lieu</t>
  </si>
  <si>
    <t>Name or address of the place</t>
  </si>
  <si>
    <t>LocationNameAddressExample_workUsual</t>
  </si>
  <si>
    <t>Édifice du Phare, CPE les petits génies</t>
  </si>
  <si>
    <t>Lighthouse building, Les Petits génies CPE</t>
  </si>
  <si>
    <t>LocationNameAddressExample_workUsual_onTheRoadOften</t>
  </si>
  <si>
    <t>Centre de distribution Rivières, Resto St-Hubert Alma</t>
  </si>
  <si>
    <t>Rivière distribution center, Alma St-Hubert BBQ</t>
  </si>
  <si>
    <t>LocationNameAddressExample_workNotUsual</t>
  </si>
  <si>
    <t>Palais des congrès de Montréal, Le Co-work du lac Long</t>
  </si>
  <si>
    <t>Chateau Frontenac, Co-work on the Long lake</t>
  </si>
  <si>
    <t>LocationNameAddressExample_schoolUsual</t>
  </si>
  <si>
    <t>École Marguerite-Bourgeoys, Collège CDI Québec, UQAR</t>
  </si>
  <si>
    <t>Marguerite-Bourgeoys school, CDI College Québec, UQAR</t>
  </si>
  <si>
    <t>LocationNameAddressExample_schoolNotUsual</t>
  </si>
  <si>
    <t>Bibliothèque à Livre ouvert, École de musique Dorémi</t>
  </si>
  <si>
    <t>National library, music school Doremi</t>
  </si>
  <si>
    <t>LocationNameAddressExample_shopping</t>
  </si>
  <si>
    <t>Centre d’achat Le Carrefour, Provigo St-Félicien, IKEA Boucherville</t>
  </si>
  <si>
    <t>Le Carrefour shopping mall, Provigo St-Félicien, IKEA Boucherville</t>
  </si>
  <si>
    <t>LocationNameAddressExample_restaurant</t>
  </si>
  <si>
    <t>Normandin de Lévis, Snack bar chez Raymond, Resto Subway de Rawdon</t>
  </si>
  <si>
    <t>Normandin in Lévis, Snack bar chez Raymond, Subway restaurant in Rawdon</t>
  </si>
  <si>
    <t>LocationNameAddressExample_dropSomeone</t>
  </si>
  <si>
    <t>Gare d’autocar, Aréna des Collines, École des Pionniers</t>
  </si>
  <si>
    <t>Central bus station, des Collines arena, des Pionniers high school</t>
  </si>
  <si>
    <t>LocationNameAddressExample_fetchSomeone</t>
  </si>
  <si>
    <t>LocationNameAddressExample_leisureArtsMusicCulture</t>
  </si>
  <si>
    <t>Cinéma des chutes, Théâtre de Verdure, Musée national des petits pots Masson</t>
  </si>
  <si>
    <t>Des chutes cinema, de Verdure Theatre, Mason Jar National Museum</t>
  </si>
  <si>
    <t>LocationNameAddressExample_leisureSports</t>
  </si>
  <si>
    <t>Nautilus St-Georges, Escalade La Grimpe, Parc de la Rose</t>
  </si>
  <si>
    <t>Nautilus St-Georges, Climbing La Grimpe, de la Rose Park</t>
  </si>
  <si>
    <t>LocationNameAddressExample_leisureTourism</t>
  </si>
  <si>
    <t>Camping Ste-Madeleine, Paris France, Hôtel Days Inn St-Flavien</t>
  </si>
  <si>
    <t>Camping Ste-Madeleine, Paris*France, Hotel Days Inn St-Flavien</t>
  </si>
  <si>
    <t>LocationNameAddressExample_leisureStroll</t>
  </si>
  <si>
    <t>Parc au bord de l’eau, Petit train du nord, Stroll de la Montagne</t>
  </si>
  <si>
    <t>Waterside park, Petit train du nord, de la Montagne promenade</t>
  </si>
  <si>
    <t>LocationNameAddressExample_visiting</t>
  </si>
  <si>
    <t>Addresse de la personne visitée, Coin des Rossignols et de l’Étang</t>
  </si>
  <si>
    <t>Address of the visited person, corner des Rossignols and de l’Étang</t>
  </si>
  <si>
    <t>LocationNameAddressExample_medical</t>
  </si>
  <si>
    <t>Clinique Médicale des Marguerites, Hôpital régional de Rimouski, CLSC des Rivières</t>
  </si>
  <si>
    <t>des Marguerites medical clinic, Rimouski regional hospital, des Rivières CLSC</t>
  </si>
  <si>
    <t>LocationNameAddressExample_service</t>
  </si>
  <si>
    <t>Coiffure Dans le Vent, Caisse Desjardins de Limoilou</t>
  </si>
  <si>
    <t>High class Hair saloon, Caisse Desjardins Limoilou</t>
  </si>
  <si>
    <t>LocationNameAddressExample_worship</t>
  </si>
  <si>
    <t>Église Saint-Nicéphore, Mosquée de la Capitale, Synagogue Maison Chabad</t>
  </si>
  <si>
    <t>Saint-Nicéphore church, de la Capitale mosque, Congregation Beth Israel Ohev Sholem</t>
  </si>
  <si>
    <t>LocationNameAddressExample_secondaryHome</t>
  </si>
  <si>
    <t>Adresse de la résidence secondaire ou du chalet</t>
  </si>
  <si>
    <t>Secondary home or cottage address</t>
  </si>
  <si>
    <t>LocationNameAddressExample_schoolNotStudent</t>
  </si>
  <si>
    <t>Institut Linguistique, École de conduite Tecnic</t>
  </si>
  <si>
    <t>language centre, Tecnic driving school</t>
  </si>
  <si>
    <t>_previousPreviousDepartureTimeHomeToUsualWorkplace</t>
  </si>
  <si>
    <t>{{nickname}} a quitté le domicile pour aller à son lieu habituel de travail à?</t>
  </si>
  <si>
    <t>{{nickname}} left home to go to {{gender:his/her/their/their}} usual work place?</t>
  </si>
  <si>
    <t>Vous avez quitté le domicile pour aller à votre lieu habituel de travail à?</t>
  </si>
  <si>
    <t>You left home to go to your usual work place at?</t>
  </si>
  <si>
    <t>_previousArrivalTimeDepartureTypeHome</t>
  </si>
  <si>
    <t>À quelle heure {{nickname}} est-{{gender :il/elle/iel/il(-elle)}} arriv{{gender:é/ée/é(e)/é(e)}} au domicile avant de débuter ses déplacements sur la route?</t>
  </si>
  <si>
    <t>At what time did {{nickname}} arrive home before starting {{gender:his/her/their/their}} on the road trips?</t>
  </si>
  <si>
    <t>À quelle heure êtes-vous arriv{{gender:é/ée/é(e)/é(e)}} au domicile avant de débuter vos déplacements sur la route?</t>
  </si>
  <si>
    <t>At what time did you arrive home before starting your on the road trips?</t>
  </si>
  <si>
    <t>_previousArrivalTimeDepartureTypeUsualWorkPlace</t>
  </si>
  <si>
    <t>À quelle heure {{nickname}} est-{{gender:il/elle/iel/il(-elle)/il(-elle)}} arriv{{gender:é/ée/é(e)/é(e)}} à son lieu de travail habituel avant de débuter ses déplacements sur la route?</t>
  </si>
  <si>
    <t>At what time did {{nickname}} arrive at {{gender:his/her/their/their}} usual work place before starting {{gender:his/her/their/their}} on the road trips?</t>
  </si>
  <si>
    <t>À quelle heure êtes-vous arriv{{gender:é/ée/é(e)/é(e)}} à votre lieu de travail habituel avant de débuter vos déplacements sur la route?</t>
  </si>
  <si>
    <t>At what time did you arrive at your usual work place before starting your on the road trips?</t>
  </si>
  <si>
    <t>_previousArrivalTimeDepartureTypeOther</t>
  </si>
  <si>
    <t>À quelle heure {{nickname}} est-{{gender :il/elle/iel/il(-elle)}} arriv{{gender :é/ée/é(e)/é(e)}} au lieu précédent ({{visitedPlaceDescription}}) avant de débuter ses déplacements sur la route?</t>
  </si>
  <si>
    <t>At what time did {{nickname}} arrive at the previous location ({{visitedPlaceDescription}}) before starting {{gender :his/her/their/their}} on the road trips?</t>
  </si>
  <si>
    <t>À quelle heure êtes-vous arriv{{gender:é/ée/é(e)/é(e)}} au lieu précédent ({{visitedPlaceDescription}}) avant de débuter vos déplacements sur la route?</t>
  </si>
  <si>
    <t>At what time did you arrive at the previous location ({{visitedPlaceDescription}}) before starting your on the road trips?</t>
  </si>
  <si>
    <t>arrivalTimeOnTheRoad</t>
  </si>
  <si>
    <t xml:space="preserve">{{nickname}} a commencé ses déplacements sur la route à: </t>
  </si>
  <si>
    <t>{{nickname}} started their work trip on the road at:</t>
  </si>
  <si>
    <t>Vous avez commencé vos déplacements sur la route à:</t>
  </si>
  <si>
    <t>You started your work trip on the road at:</t>
  </si>
  <si>
    <t>arrivalTimeStroll</t>
  </si>
  <si>
    <t>{{nickname}} a commencé sa promenade à:</t>
  </si>
  <si>
    <t>{{nickname}} started their stroll at:</t>
  </si>
  <si>
    <t xml:space="preserve">Vous avez commencé votre promenade à: </t>
  </si>
  <si>
    <t>You started your stroll at:</t>
  </si>
  <si>
    <t>departureTimeStroll</t>
  </si>
  <si>
    <t>{{nickname}} a terminé sa promenade à:</t>
  </si>
  <si>
    <t>{{nickname}} finished their stroll at:</t>
  </si>
  <si>
    <t>Vous avez terminé votre promenade à:</t>
  </si>
  <si>
    <t>You finished your stroll at:</t>
  </si>
  <si>
    <t>departureTimeOnTheRoad</t>
  </si>
  <si>
    <t>{{nickname}} a terminé ses déplacements sur la route à:</t>
  </si>
  <si>
    <t>{{nickname}} finished their work on the road at:</t>
  </si>
  <si>
    <t>Vous avez terminé vos déplacements sur la route à:</t>
  </si>
  <si>
    <t>You finished your work on the road at:</t>
  </si>
  <si>
    <t>errors.selectDontKnowWhenNoOtherChoiceSelected</t>
  </si>
  <si>
    <t>Sélectionnez "Je ne sais pas" seulement si aucun autre choix n'est sélectionné.</t>
  </si>
  <si>
    <t>Select "I don't know" only if no other choice is selected.</t>
  </si>
  <si>
    <t>errors.selectNoWhenNoOtherChoiceSelected</t>
  </si>
  <si>
    <t>Sélectionnez "Non" seulement si aucun autre choix n'est sélectionné.</t>
  </si>
  <si>
    <t>Select "no" only if no other choice is selected.</t>
  </si>
  <si>
    <t>errors.selectPreferNotToAnswerWhenNoOtherChoiceSelected</t>
  </si>
  <si>
    <t>Sélectionnez "Préfère ne pas répondre" seulement si aucun autre choix n'est sélectionné.</t>
  </si>
  <si>
    <t>Select "Prefer not to answer" only if no other choice is selected.</t>
  </si>
  <si>
    <t>errors.selectNoTravelWhenNoOtherChoiceSelected</t>
  </si>
  <si>
    <t>Sélectionnez "Pas de déplacement" seulement si aucun autre choix n'est sélectionné.</t>
  </si>
  <si>
    <t>Select "No Travel" only if no other choice is selected.</t>
  </si>
  <si>
    <t>errors.selectOneOrMoreAnswer</t>
  </si>
  <si>
    <t>Sélectionnez une ou des réponses.</t>
  </si>
  <si>
    <t>Select one or multiple choices.</t>
  </si>
  <si>
    <t>errors.selectNoRemoteWorkWhenNoOtherChoiceSelected</t>
  </si>
  <si>
    <t>Sélectionnez "Pas de télé-travail" seulement si aucun autre choix n'est sélectionné.</t>
  </si>
  <si>
    <t>Select "No remote work" only if no other choice is selected.</t>
  </si>
  <si>
    <t>errors.selectNoRemoteStudyWhenNoOtherChoiceSelected</t>
  </si>
  <si>
    <t>Sélectionnez "Pas de télé-études" seulement si aucun autre choix n'est sélectionné.</t>
  </si>
  <si>
    <t>Select "No remote studies" only if no other choice is selected.</t>
  </si>
  <si>
    <t>popup.validateHouseholdAgesHelp</t>
  </si>
  <si>
    <t>Au moins un membre de votre ménage doit avoir 16 ans ou plus pour répondre à ce questionnaire. Veuillez vérifier les âges.</t>
  </si>
  <si>
    <t>At least one member of your household must be 16 years old or older to respond to this survey. Please verify ages.</t>
  </si>
  <si>
    <t>Vous devez avoir au moins 16 ans pour répondre à ce questionnaire.</t>
  </si>
  <si>
    <t>You must be at least 16 years old to respond to this survey.</t>
  </si>
  <si>
    <t>schoolTypeLessThan4</t>
  </si>
  <si>
    <t>**Type de garde**</t>
  </si>
  <si>
    <t>**Childcare type**</t>
  </si>
  <si>
    <t>schoolTypeBetween4And15</t>
  </si>
  <si>
    <t>**Type d'école**</t>
  </si>
  <si>
    <t>**School type**</t>
  </si>
  <si>
    <t>onTheRoadArrivalTypeHome</t>
  </si>
  <si>
    <t>onTheRoadArrivalTypeUsualWorkPlace</t>
  </si>
  <si>
    <t>onTheRoadArrivalTypeOther</t>
  </si>
  <si>
    <t>onTheRoadArrivalTypeStayedThereUntilTheNextDay</t>
  </si>
  <si>
    <t>onDemandChoicesPickupAtOrigin</t>
  </si>
  <si>
    <t>onDemandChoicesJoinedStop</t>
  </si>
  <si>
    <t>busLinesOther</t>
  </si>
  <si>
    <t>Autre(s) ligne(s) de bus</t>
  </si>
  <si>
    <t>Other bus line(s)</t>
  </si>
  <si>
    <t>busLinesDontKnow</t>
  </si>
  <si>
    <t>Ligne(s) inconnue(s)</t>
  </si>
  <si>
    <t>Unknown line(s)</t>
  </si>
  <si>
    <t>busLinesAreCorrect</t>
  </si>
  <si>
    <t>Les lignes de bus sont correctes</t>
  </si>
  <si>
    <t>Bus lines are correct</t>
  </si>
  <si>
    <t>busLinesWarningRequired</t>
  </si>
  <si>
    <t>Veuillez valider les lignes de bus ou confirmer que ce sont les bonnes lignes.</t>
  </si>
  <si>
    <t>Please validate the bus lines or confirm that lines are correct.</t>
  </si>
  <si>
    <t>nextPlaceRadioChoices.stayedHomeUntilTheNextDay</t>
  </si>
  <si>
    <t>Rest{{gender:é/ée/é(e)/é(e)}} au domicile jusqu'au lendemain</t>
  </si>
  <si>
    <t>Stayed home until the next day</t>
  </si>
  <si>
    <t>nextPlaceRadioChoices.stayedThereUntilTheNextDay</t>
  </si>
  <si>
    <t>Rest{{gender:é/ée/é(e)/é(e)}} à cet endroit jusqu'au lendemain</t>
  </si>
  <si>
    <t>Stayed at this place until the next day</t>
  </si>
  <si>
    <t>nextPlaceRadioChoices.visitedAnotherPlace</t>
  </si>
  <si>
    <t>All{{gender:é/ée/é(e)/é(e)}} ou arrêt{{gender:é/ée/é(e)/é(e)}} à un autre endroit</t>
  </si>
  <si>
    <t>Went or stopped elsewhere</t>
  </si>
  <si>
    <t>nextPlaceRadioChoices.wentBackHome</t>
  </si>
  <si>
    <t>Retourn{{gender:é/ée/é(e)/é(e)}} au domicile directement ({{address}})</t>
  </si>
  <si>
    <t>Returned home directly ({{address}})</t>
  </si>
  <si>
    <t>workPlaceBeforeLeaveTypeChoicesOnLocation</t>
  </si>
  <si>
    <t>workPlaceBeforeLeaveTypeChoicesHybrid</t>
  </si>
  <si>
    <t>personDidTripsConfirmChoiceNo</t>
  </si>
  <si>
    <t>{{nickname}} n'a effectué aucun déplacement le {{assignedDate}}</t>
  </si>
  <si>
    <t>{{nickname}} did not make any trip on {{assignedDate}}</t>
  </si>
  <si>
    <t>Je n'ai effectué aucun déplacement le {{assignedDate}}</t>
  </si>
  <si>
    <t>I did not make any trip on {{assignedDate}}</t>
  </si>
  <si>
    <t>personDidTripsConfirmChoiceYes</t>
  </si>
  <si>
    <t>{{nickname}} a effectué au moins un déplacement le {{assignedDate}}</t>
  </si>
  <si>
    <t>{{nickname}} did make at least one trip on {{assignedDate}}</t>
  </si>
  <si>
    <t>J'ai effectué au moins un déplacement le {{assignedDate}}</t>
  </si>
  <si>
    <t>I did make at least one trip on {{assignedDate}}</t>
  </si>
  <si>
    <t>errors.inputRangeMustBePositiveOrZero</t>
  </si>
  <si>
    <t>Veuillez placer le bouton à l'intérieur de la plage de réponse.</t>
  </si>
  <si>
    <t>Make sure your slider button is inside the range.</t>
  </si>
  <si>
    <t>We will ask you to specify **{{nickname}}**’s trips.
The order of the interviewed persons was randomly selected.
&lt;details&gt;&lt;summary&gt;Why might the order of persons have been changed?&lt;/summary&gt;The order of persons for whom we ask you to specify trips is randomized. This helps avoid any bias related to the reporting sequence and ensures consistent data quality.&lt;/details&gt;</t>
  </si>
  <si>
    <t>À quelle fréquence avez-vous effectué des déplacements longue distance (plus de 40 km) de **septembre à décembre 2024**?</t>
  </si>
  <si>
    <t>How often did you or a member of your household make long-distance trips (more than 40 km) between **January and April 2025**?</t>
  </si>
  <si>
    <t>À quelle fréquence avez-vous effectué des déplacements longue distance (plus de 40 km) de **janvier à avril 2025**?</t>
  </si>
  <si>
    <t>How often did you make long-distance trips (more than 40 km) between **January and April 2025**?</t>
  </si>
  <si>
    <t>How often did you or a member of your household make long-distance trips (more than 40 km) between **May and August 2025**?</t>
  </si>
  <si>
    <t>À quelle fréquence avez-vous effectué des déplacements longue distance (plus de 40 km) de **mai à août 2025**?</t>
  </si>
  <si>
    <t>How often did you make long-distance trips (more than 40 km) between **May and August 2025**?</t>
  </si>
  <si>
    <t>end.optionalIntroText</t>
  </si>
  <si>
    <t>What was your household's income range before taxes (gross income), in 2024?
__Optional__</t>
  </si>
  <si>
    <t>Vos **commentaires et suggestions** sur le questionnaire
__Facultatif__</t>
  </si>
  <si>
    <t>Among the vehicles owned by your household, how many are **electric vehicles**?
__Optional__</t>
  </si>
  <si>
    <t>Dans quelle mesure cette enquête a-t-elle été **intéressante** pour vous?
__Facultatif__</t>
  </si>
  <si>
    <t>Combien de **temps** pensez-vous avoir passé **à répondre** à cette enquête (**en minutes**)?
__Facultatif__</t>
  </si>
  <si>
    <t>Pensez-vous que la **durée de l'enquête était trop courte, correcte ou trop longue**?
__Facultatif__</t>
  </si>
  <si>
    <t>Dans quelle mesure vous a-t-il été **facile** ou **difficile** de répondre aux questions de cette enquête?
__Facultatif__</t>
  </si>
  <si>
    <t>Dans quelle mesure avez-vous trouvé cette enquête **pénible (exigeante)**?
__Facultatif__</t>
  </si>
  <si>
    <t>Avez-vous pensé, à un moment ou un autre, **abandonner l'enquête**?
__Facultatif__</t>
  </si>
  <si>
    <t>label_phone::fr</t>
  </si>
  <si>
    <t>label_phone::en</t>
  </si>
  <si>
    <t>label_phone_one:fr</t>
  </si>
  <si>
    <t>wantToParticipateToDraw</t>
  </si>
  <si>
    <t>Veuillez saisir le courriel pour vous recontacter.</t>
  </si>
  <si>
    <t>home_isMain</t>
  </si>
  <si>
    <t>homeIsMain</t>
  </si>
  <si>
    <t>Oui, j'y habite plus de 50 % du temps</t>
  </si>
  <si>
    <t>Non, c’est ma résidence secondaire et mon ménage habite majoritairement à une autre adresse</t>
  </si>
  <si>
    <t>Je souhaite participer au **tirage au sort**
__Seuls les gagnants seront contactés. Il est nécessaire de terminer le questionnaire pour être retenu ([Voir règlement](lien))__</t>
  </si>
  <si>
    <t>territoryValidation</t>
  </si>
  <si>
    <t>accessCodeHelpPopup</t>
  </si>
  <si>
    <t>brakes</t>
  </si>
  <si>
    <t>b_</t>
  </si>
  <si>
    <t>Freins</t>
  </si>
  <si>
    <t>Commentaires</t>
  </si>
  <si>
    <t>help_popup_name</t>
  </si>
  <si>
    <t>infoButton::fr</t>
  </si>
  <si>
    <t>infoText::fr</t>
  </si>
  <si>
    <t>Qui inclure dans ce nombre?</t>
  </si>
  <si>
    <t>infoButton::en</t>
  </si>
  <si>
    <t>infoText::en</t>
  </si>
  <si>
    <t>Où trouver mon code d'accès?</t>
  </si>
  <si>
    <t>min=0
max=4
overMaxAllowed</t>
  </si>
  <si>
    <t>0to2+</t>
  </si>
  <si>
    <t>household_twoWheelNumber</t>
  </si>
  <si>
    <t>twoWheelNumberHelpPopup</t>
  </si>
  <si>
    <t>**Motocyclettes ou scooters** nécessitant un permis 
__Aussi appelé cyclomoteur ou mobylette__</t>
  </si>
  <si>
    <t>2+</t>
  </si>
  <si>
    <t>home_carParkingsAvailableVehicleHousehold</t>
  </si>
  <si>
    <t>home_carParkingsAvailableNoVehicleHousehold</t>
  </si>
  <si>
    <t>Votre ménage a-t-il accès a une **entrée privée, garage ou place de stationnement réservée**?</t>
  </si>
  <si>
    <t>carParkingsHome</t>
  </si>
  <si>
    <t>home.RA</t>
  </si>
  <si>
    <t>household.twoWheelNumber</t>
  </si>
  <si>
    <t>si EP question stationnement au domicile</t>
  </si>
  <si>
    <t>private</t>
  </si>
  <si>
    <t>stickers</t>
  </si>
  <si>
    <t>Entrée privée, garage ou place de stationnement réservée</t>
  </si>
  <si>
    <t>Possession d’une vignette résidentielle </t>
  </si>
  <si>
    <t>household_carsharing</t>
  </si>
  <si>
    <t>**Vélo(s)** à la disposition de votre ménage 
__Indiquer seulement les vélos des ados ou adultes dans un état utilisable, incluant les vélos à assistance électrique. Ne pas inclure les vélos pour enfants.__</t>
  </si>
  <si>
    <t>disabilityHelpPopup</t>
  </si>
  <si>
    <t>Pourquoi cette question?</t>
  </si>
  <si>
    <t>uniqueNickname</t>
  </si>
  <si>
    <t>**Genre**
__Peut différer du sexe assigné à la naissance ou inscrit dans les documents légaux__</t>
  </si>
  <si>
    <t>S'identifie autrement (spécifier si désiré)</t>
  </si>
  <si>
    <t>**Autopartage** (ex. Communauto, Léo) : utilisation comme conducteur(-rice) dans les 6 derniers mois</t>
  </si>
  <si>
    <t>carsharing</t>
  </si>
  <si>
    <t>household.carsharing</t>
  </si>
  <si>
    <t>livesCenterMontrealConditional</t>
  </si>
  <si>
    <t>householdWithVehicleConditional</t>
  </si>
  <si>
    <t>householdWithoutVehicleConditional</t>
  </si>
  <si>
    <t>carParkingHomeWithVehicleConditional</t>
  </si>
  <si>
    <t>carParkingHomeWithoutVehicleConditional</t>
  </si>
  <si>
    <t>livesMontrealLavalLongueuilConditional</t>
  </si>
  <si>
    <t>personCarsharing</t>
  </si>
  <si>
    <t>household_bikesharing</t>
  </si>
  <si>
    <t>bikesharingMembership</t>
  </si>
  <si>
    <t>personBikesharingMembership</t>
  </si>
  <si>
    <t>Oui (mensuel, saison)</t>
  </si>
  <si>
    <t>Non (paiement au déplacement)</t>
  </si>
  <si>
    <t>personBikesharingUsage</t>
  </si>
  <si>
    <t>bikesharingUsage</t>
  </si>
  <si>
    <t>usedTransitInLast30Days</t>
  </si>
  <si>
    <t>personUsedTransitInLast30Days</t>
  </si>
  <si>
    <t>**Type de passe,abonnement** utilisés pour le transport en commun dans les 30 derniers jours
__Inclure les abonnements gratuits.
Les titres de l’ARTM permettent de prendre les services de la STM (métro et bus), de la STL, du RTL, d’exo (train et bus) et le REM.__</t>
  </si>
  <si>
    <t>sharingMobilitiesConditional</t>
  </si>
  <si>
    <t>carsharingConditional</t>
  </si>
  <si>
    <t>bikesharingConditional</t>
  </si>
  <si>
    <t>bikesharingMemberShipConditional</t>
  </si>
  <si>
    <t>transitFareConditional</t>
  </si>
  <si>
    <t>transitPassType</t>
  </si>
  <si>
    <t>transitPassConditional</t>
  </si>
  <si>
    <t>personTransitPass</t>
  </si>
  <si>
    <t>personTransitFare</t>
  </si>
  <si>
    <t>transitFare</t>
  </si>
  <si>
    <t>ifAge12OrMoreConditional</t>
  </si>
  <si>
    <t>==</t>
  </si>
  <si>
    <t>transitPassARTM</t>
  </si>
  <si>
    <t>Titres ou billets individuels de l’ARTM</t>
  </si>
  <si>
    <t>Autre abonnement ou titre (SJSR, STC Sorel-Tracy, MRC Joliette, etc …)</t>
  </si>
  <si>
    <t>Passe / abonnement mensuel ou annuel de l’ARTM</t>
  </si>
  <si>
    <t>Passe / abonnement mensuel ou annuel de l’ARTM (incluant les passes pour ainés)</t>
  </si>
  <si>
    <t>ifAge65OrMoreConditional</t>
  </si>
  <si>
    <t>ifAge64OrLessConditional</t>
  </si>
  <si>
    <t>Tous modes A</t>
  </si>
  <si>
    <t>Tous modes AB</t>
  </si>
  <si>
    <t>Tous modes ABC</t>
  </si>
  <si>
    <t>Tous modes ABCD</t>
  </si>
  <si>
    <t>Bus hors territoire (CD)</t>
  </si>
  <si>
    <t>Bus</t>
  </si>
  <si>
    <t>A</t>
  </si>
  <si>
    <t>AB</t>
  </si>
  <si>
    <t>ABC</t>
  </si>
  <si>
    <t>ABCD</t>
  </si>
  <si>
    <t>bus</t>
  </si>
  <si>
    <t>busCD</t>
  </si>
  <si>
    <t>opusWithTicketsOnly</t>
  </si>
  <si>
    <t>otherTerritory</t>
  </si>
  <si>
    <t>none</t>
  </si>
  <si>
    <t>Autre (spécifier)</t>
  </si>
  <si>
    <t>Carte OPUS avec titres individuels seulement</t>
  </si>
  <si>
    <t>Autre hors territoire (SJSR, STC Sorel-Tracy, MRC Joliette, etc. …)</t>
  </si>
  <si>
    <t>Aucun pour le mois en cours</t>
  </si>
  <si>
    <t>**Type de passe** utilisé en tant qu’**abonnement** valide pour le mois en cours
__A, AB, ABC et ABCD font référence aux zones tarifaires de l'ARTM__</t>
  </si>
  <si>
    <t>transitFareHelpPopup</t>
  </si>
  <si>
    <t>Zones tarifaires?</t>
  </si>
  <si>
    <t>Carte + tableau des tarifs</t>
  </si>
  <si>
    <t>personDisabilities</t>
  </si>
  <si>
    <t>disabilities</t>
  </si>
  <si>
    <t>Auditive </t>
  </si>
  <si>
    <t>Visuelle</t>
  </si>
  <si>
    <t>Cognitive (ex. mémoire, attention, compréhension, défi d’apprentissage, etc.)</t>
  </si>
  <si>
    <t>Santé mentale (ex. anxiété, dépression, trouble psychique, etc.)</t>
  </si>
  <si>
    <t>Intellectuelle ou trouble du spectre de l’autisme (TSA) </t>
  </si>
  <si>
    <t>Motrice (ex. mobilité réduite, flexibilité, paralysie, amputation, etc.)</t>
  </si>
  <si>
    <t>Limitation liée à une maladie chronique ou à l’état de santé (ex. cardiaque, respiratoire, douleur, etc.)</t>
  </si>
  <si>
    <t>Trouble de la parole ou du langage</t>
  </si>
  <si>
    <t>Motricité fine (ex. dextérité, agilité, etc.)</t>
  </si>
  <si>
    <t>mobilityAssistiveDevices</t>
  </si>
  <si>
    <t>personMobilityAssistiveDevices</t>
  </si>
  <si>
    <t>…** la ou lesquelles**? 
__Facultatif__</t>
  </si>
  <si>
    <t>Béquilles ou Canne</t>
  </si>
  <si>
    <t>Canne blanche</t>
  </si>
  <si>
    <t>Chien d'assistance ou chien guide</t>
  </si>
  <si>
    <t>Fauteuil roulant manuel (avec ou sans assistance électrique)</t>
  </si>
  <si>
    <t>Fauteuil roulant motorisé</t>
  </si>
  <si>
    <t>Marchette ou déambulateur</t>
  </si>
  <si>
    <t>Triporteur ou quadriporteur</t>
  </si>
  <si>
    <t>Aucun matériel spécifique</t>
  </si>
  <si>
    <t>hasDisabilityConditional</t>
  </si>
  <si>
    <t>&gt;</t>
  </si>
  <si>
    <t>**Le plus utilisé?**
__Facultatif__</t>
  </si>
  <si>
    <t>personMostUsedMobilityAssistiveDevice</t>
  </si>
  <si>
    <t>mostUsedMobilityAssistiveDevice</t>
  </si>
  <si>
    <t>personUseParatransit</t>
  </si>
  <si>
    <t>useParatransit</t>
  </si>
  <si>
    <t>{{nickname}} est-{{gender:il/elle/iel}} admis{{gender:/e/.e}} au **transport adapté**? 
__STM, RTL, STL, exo, etc.
Facultatif__</t>
  </si>
  <si>
    <t>personDisabilitiesFrequenciesParatransit</t>
  </si>
  <si>
    <t>personDisabilitiesFrequenciesTransit</t>
  </si>
  <si>
    <t>disabilitiesFrequenciesParatransit</t>
  </si>
  <si>
    <t>disabilitiesFrequenciesTransit</t>
  </si>
  <si>
    <t>paratransitFrenquencies</t>
  </si>
  <si>
    <t>paratransitFrenquenciesConditional</t>
  </si>
  <si>
    <t>si EP question d'incapacité</t>
  </si>
  <si>
    <t>Jamais au cours des 12 derniers mois</t>
  </si>
  <si>
    <t>1 à quelques jours au cours des 12 derniers mois</t>
  </si>
  <si>
    <t>1 à 3 jours par mois</t>
  </si>
  <si>
    <t>1 à 4 jours par semaine</t>
  </si>
  <si>
    <t>5 à 7 jours par semaine</t>
  </si>
  <si>
    <t>paratransitFrenquenciesTransit</t>
  </si>
  <si>
    <t>doesNotUseTransitConditional</t>
  </si>
  <si>
    <t>Au cours des 12 derniers mois, à quelle fréquence {{nickname}} a-t-{{gender:il/elle/iel}} utilisé le **transport adapté**?
__Facultatif__</t>
  </si>
  <si>
    <t>(</t>
  </si>
  <si>
    <t>)</t>
  </si>
  <si>
    <t>workPlaceBeforeLeaveTypeChoicesOnTheRoadWithUsualPlace</t>
  </si>
  <si>
    <t>workPlaceBeforeLeaveTypeChoicesOnTheRoadWithoutUsualPlace</t>
  </si>
  <si>
    <t>workPlaceBeforeLeaveTypeChoicesRemote</t>
  </si>
  <si>
    <t>studentHelpPopup</t>
  </si>
  <si>
    <t>workerHelpPopup</t>
  </si>
  <si>
    <t>Qui inclure?</t>
  </si>
  <si>
    <t>**Travaill{{gender:eur/euse/eur(-euse)/eur(-euse)}}**
__Incluant travaill{{gender:eur/euse/eur(-euse)/eur(-euse)}} autonome, artiste ou en congé de longue durée.__</t>
  </si>
  <si>
    <t>jobType</t>
  </si>
  <si>
    <t>jobTypes</t>
  </si>
  <si>
    <t>Professionnel(le)
__ingénieur·e, analyste, enseignant·e, chercheur·e, professionnel de la santé…__</t>
  </si>
  <si>
    <t>Travail de bureau / administration
__commis, adjoint·e administratif·ve, secrétariat, soutien administratif…__</t>
  </si>
  <si>
    <t>Vente et services
__commerce de détail, service à la clientèle, restauration, soins personnels…__</t>
  </si>
  <si>
    <t>Fabrication, métiers et autres emplois
__usine, construction, métiers spécialisés, transport, entreposage…__</t>
  </si>
  <si>
    <t>min=0
max=7</t>
  </si>
  <si>
    <t>min=0
max=${currentPerson}.travelToWorkDays</t>
  </si>
  <si>
    <t>personHybridWorkDaysConditional</t>
  </si>
  <si>
    <t>**Type d’emploi** de {{nickname}}</t>
  </si>
  <si>
    <t>personOccupationConditional</t>
  </si>
  <si>
    <t>${currentPerson}.studentType</t>
  </si>
  <si>
    <t>${currentPerson}.workerType</t>
  </si>
  <si>
    <t>${currentPerson}.usedTransitInLast30Days</t>
  </si>
  <si>
    <t>${currentPerson}.useParatransit</t>
  </si>
  <si>
    <t>${currentPerson}.bikesharingUsage</t>
  </si>
  <si>
    <t>${currentPerson}.transitPass</t>
  </si>
  <si>
    <t>${currentPerson}.hasDisability</t>
  </si>
  <si>
    <t>À la retraite ou à la maison</t>
  </si>
  <si>
    <t>ifAge39OrLessConditional</t>
  </si>
  <si>
    <t>**Qui inclure dans ce nombre?**
&lt;span class="_green"&gt;Inclure :&lt;\span&gt;
- Vous-même
- Les enfants en garde partagée s'ils étaient présents à votre domicile le &lt;span class="_green"&gt;{{assignedWeekday}}{{assignedDate}} ({{deltaDays}})&lt;\span&gt;
Les chambreuses, les chambreurs et colocataires, ainsi que tous ceux et celles qui vivent en communauté domestique</t>
  </si>
  <si>
    <t>**Qui considérer comme étudiant?** 
&lt;span class="_green"&gt;Inclure :&lt;\span&gt;
- Tous les étudiants et élèves à partir de 15 ans, indépendamment du niveau d'enseignement.
- Toute personne suivant des cours de façon régulière via un établissement.
- Toute personne actuellement en stage / alternance / apprentissage, mais inscrite dans un établissement d'enseignement.
&lt;span class="_red"&gt;Ne pas inclure&lt;\span&gt; les formations ponctuelles ou en ligne, les cours particuliers, etc.</t>
  </si>
  <si>
    <t>**Quels véhicules inclure?**
&lt;span class="_green"&gt;Inclure :&lt;\span&gt; 
- Les mobylettes, scooters et motos (à essence ou électriques)
&lt;span class="_red"&gt;Ne pas inclure :&lt;\span&gt; 
- Les automobiles, VUS, camions légers, camions et fourgonnettes
- Les vélos ou vélos électriques
- Les trottinettes ou trottinettes électriques</t>
  </si>
  <si>
    <t>Quels véhicules inclure dans ce nombre?</t>
  </si>
  <si>
    <t>capture de la lettre avec code entouré</t>
  </si>
  <si>
    <t>Nous allons vous demander de spécifier les déplacements de **{{nickname}}**.
L’ordre des personnes interviewées est aléatoire.
&lt;details&gt;&lt;summary&gt;Pourquoi l'ordre des personnes peut avoir été changé?&lt;/summary&gt; L'ordre des personnes pour lesquelles on demande de spécifier les déplacements est aléatoire (tiré au sort). Cela permet de diminuer l’influence de l’ordre de déclaration sur la qualité des réponses recueillies.&lt;/details&gt;</t>
  </si>
  <si>
    <t>assignedDateHelpPopup</t>
  </si>
  <si>
    <t>Pourquoi cette journée?</t>
  </si>
  <si>
    <t>departurePlaceOtherConditional</t>
  </si>
  <si>
    <t>personOutOfTerritory</t>
  </si>
  <si>
    <t>outOfTerritory</t>
  </si>
  <si>
    <t>Est-ce que {{nickname}} est retourn{{gender:é/ée/é(e)}} au domicile {{address}} la journée du {{assignedDate}}?</t>
  </si>
  <si>
    <t>outOfTerritoryConditional</t>
  </si>
  <si>
    <t>outOfTerritoryChoices</t>
  </si>
  <si>
    <t>Oui, {{nickname}} est reven{{gender:u/ue/u(e)}} au domicile avant le lendemain</t>
  </si>
  <si>
    <t>Non, {{nickname}} est rest{{gender:é/ée/é(e)}} en {{household.persons.{_activePersonId}.journeys.{_activeJourneyId}.departurePlaceOther}} jusqu’au lendemain</t>
  </si>
  <si>
    <t>personOutOfTerritoryMembers</t>
  </si>
  <si>
    <t>outOfTerritoryMembers</t>
  </si>
  <si>
    <t>D’autres membres du ménage étaient avec {{nickname}} toute la journée?</t>
  </si>
  <si>
    <t>outOfTerritoryMembersConditional</t>
  </si>
  <si>
    <t>${currentPerson}.outOfTerritory</t>
  </si>
  <si>
    <t>${currentPerson}.departurePlaceIsHome</t>
  </si>
  <si>
    <t>${currentPerson}household.persons.{_activePersonId}.journeys.{_activeJourneyId}.departurePlaceOther</t>
  </si>
  <si>
    <t>workOnTheRoadConditional</t>
  </si>
  <si>
    <t>workOnTheRoad</t>
  </si>
  <si>
    <t>À quelle heure {{nickname}} est-t-{{gender :il/elle/iel/il(-elle)}} arriv{{gender:é/ée/é(e)}} à {{onTheRoadDepartureType}} avant de débuter ses déplacements sur la route?</t>
  </si>
  <si>
    <t>{{nickname}} a commencé ses déplacements sur la route à :</t>
  </si>
  <si>
    <t>visitedPlaceOnTheRoadPreviousDepartureTime</t>
  </si>
  <si>
    <t>visitedPlaceOnTheRoadDepartureTime</t>
  </si>
  <si>
    <t>onTheRoadPreviousDepartureTimeConditional</t>
  </si>
  <si>
    <t>!=</t>
  </si>
  <si>
    <t>visitedPlaceOnTheRoadArrivalTime</t>
  </si>
  <si>
    <t>onTheRoadArrivalTime</t>
  </si>
  <si>
    <t>{{nickname}} a terminé ses déplacement sur la route à :</t>
  </si>
  <si>
    <t>{{nickname}} est arriv{{gender :é/ée/é(e)/é(e)}} {{atPlace}} à :</t>
  </si>
  <si>
    <t>Grève</t>
  </si>
  <si>
    <t>strike</t>
  </si>
  <si>
    <t>ifAge5to15Conditional</t>
  </si>
  <si>
    <t>hasWorkingLocationCustomConditional</t>
  </si>
  <si>
    <t>personUsualWorkPlaceCommuting</t>
  </si>
  <si>
    <t>usualWorkPlaceCommuting</t>
  </si>
  <si>
    <t>Quel moyen de transport utilise habituellement {{nickname}} pour** se rendre à son lieu de travail?** 
__Si plusieurs modes sont utilisés, indiquer le mode qui représente la plus grande partie de la distance parcourue.
Si {{nickname}} fréquente plusieurs lieux, répondre en fonction du lieu le plus fréquemment visité.__</t>
  </si>
  <si>
    <t>Si travailleur sur la route, ajouter le hint  : __Si {{nickname}} travaille sur la route, répondre le mode utilisé en quittant le domicile.__
Si travailleur sur la route avec départ au lieu habituel, ajouter le hint  : __Si {{nickname}} travaille sur la route, répondre le mode utilisé en quittant le domicile, pas celui utilisé pour les livraisons, tournées, patrouilles, visites chez clients.__</t>
  </si>
  <si>
    <t>usualWorkPlaceCommutingModes</t>
  </si>
  <si>
    <t>carDriver</t>
  </si>
  <si>
    <t>carPassenger</t>
  </si>
  <si>
    <t>transit</t>
  </si>
  <si>
    <t>walk</t>
  </si>
  <si>
    <t>bike</t>
  </si>
  <si>
    <t>otherMotor</t>
  </si>
  <si>
    <t>Autre moyen</t>
  </si>
  <si>
    <t>Autre moyen (incluant moto)</t>
  </si>
  <si>
    <t>householdWithTwoWheelConditional</t>
  </si>
  <si>
    <t>householdWithoutTwoWheelConditional</t>
  </si>
  <si>
    <t>usualWorkPlaceCommutingHelpPopup</t>
  </si>
  <si>
    <t>**Pourquoi cette question?**
Inspirée du Recensement de Statistique Canada, cette question permet de comparer les modes de navettage entre enquêtes.</t>
  </si>
  <si>
    <t>**Vous n'avez déclaré aucun déplacement pour les études** pour {{nickname}} le {{assignedDate}}</t>
  </si>
  <si>
    <t>Si 5ans : Est-ce que {{nickname}} fréquente une garderie ou CPE?</t>
  </si>
  <si>
    <t>Est-ce que {{nickname}} se rend dans un **établissement scolaire** pour étudier?
__Répondre ‘Non’ seulement si {nom} n’effectue que des cours à distance.__</t>
  </si>
  <si>
    <t>École fermée ou pas de cours</t>
  </si>
  <si>
    <t>householdType</t>
  </si>
  <si>
    <t>householdTypeSpecify</t>
  </si>
  <si>
    <t>Laquelle des situations suivantes décrit le mieux votre ménage?</t>
  </si>
  <si>
    <t>Plus spécifiquement?</t>
  </si>
  <si>
    <t>householdTypeConditional</t>
  </si>
  <si>
    <t>householdTypeSpecifyConditional</t>
  </si>
  <si>
    <t>si EP question typologie de ménage</t>
  </si>
  <si>
    <t>oneFamilyOnly</t>
  </si>
  <si>
    <t>hasHouseholdSize3OrMoreConditional</t>
  </si>
  <si>
    <t>Ménage comprenant **une seule famille, sans autre personne**</t>
  </si>
  <si>
    <t>Ménage **multigénérationnel** (ex. : parents, enfants et grands-parents vivant ensemble)</t>
  </si>
  <si>
    <t>Ménage comprenant **plusieurs familles** (ex. : deux couples vivant ensemble)</t>
  </si>
  <si>
    <t>Ménage de **deux personnes ou plus sans lien familial** (ex. : deux frères ou sœurs vivant ensemble)</t>
  </si>
  <si>
    <t>hasHouseholdSize2Conditional</t>
  </si>
  <si>
    <t>Ménage formé d’un **parent seul avec enfant(s)**</t>
  </si>
  <si>
    <t>manyFamilies</t>
  </si>
  <si>
    <t>oneFamilyWithOther</t>
  </si>
  <si>
    <t>noFamily</t>
  </si>
  <si>
    <t>multigenerationalFamily</t>
  </si>
  <si>
    <t>coupleWithChild</t>
  </si>
  <si>
    <t>coupleWithoutChild</t>
  </si>
  <si>
    <t>Ménage formé d’un **couple sans enfant**</t>
  </si>
  <si>
    <t>Ménage formé d’un **couple avec enfant(s)**</t>
  </si>
  <si>
    <t>parentWithChild</t>
  </si>
  <si>
    <t>Ménage comprenant **une seule famille et autre(s) personne(s)** (ex. : couple avec enfant vivant avec un oncle)</t>
  </si>
  <si>
    <t>min=0
max=household.carNumber-household.electricCarNumber</t>
  </si>
  <si>
    <t>household.carNumber-household.electricCarNumber</t>
  </si>
  <si>
    <t>Tranche de revenu avant impôts (brut) du ménage, en 2025?
__Facultatif__</t>
  </si>
  <si>
    <t>incomeHelpPopup</t>
  </si>
  <si>
    <t>**Pourquoi cette question?**
La tranche de revenu du ménage nous permet de comprendre certains enjeux d'équité en mobilité. Cela permet aussi d'identifier s'il y a une bonne représentativité parmi nos répondants.</t>
  </si>
  <si>
    <t>**Qui considérer comme travailleur?** 
&lt;span class="_green"&gt;Inclure &lt;\span&gt; toute personne avec un emploi ou une entreprise, même si temporairement absente au moment de répondre (par exemple : congé de maladie, congé parental, vacances, mise à pied temporaire). 
&lt;span class="_green"&gt;Inclure &lt;\span&gt;  le travail salarié ou à son compte.
&lt;span class="_red"&gt;Ne pas inclure&lt;\span&gt; les personnes sans emploi et ne cherchant pas de travail.</t>
  </si>
  <si>
    <t>**Pourquoi cette question?**
Nous demandons si des personnes présentent des incapacités qui limitent leur mobilité afin d'étudier les impacts sur leur façon de se déplacer. À postériori, ces informations permettront de proposer une offre de transport plus adaptée à leurs besoins.</t>
  </si>
  <si>
    <t>revoir le texte</t>
  </si>
  <si>
    <t>Moins de 15 000 $</t>
  </si>
  <si>
    <t>15 000 $ à 29 999 $</t>
  </si>
  <si>
    <t>30 000 $ à 44 999 $</t>
  </si>
  <si>
    <t>45 000 $ à 59 999 $</t>
  </si>
  <si>
    <t>60 000 $ à 79 000 $</t>
  </si>
  <si>
    <t>80 000 $ à 99 999 $</t>
  </si>
  <si>
    <t>100 000 $ à 149 999 $</t>
  </si>
  <si>
    <t>150 000 $ à 199 999 $</t>
  </si>
  <si>
    <t>000000_014999</t>
  </si>
  <si>
    <t>015000_029999</t>
  </si>
  <si>
    <t>030000_044999</t>
  </si>
  <si>
    <t>045000_059999</t>
  </si>
  <si>
    <t>060000_079999</t>
  </si>
  <si>
    <t>080000_099999</t>
  </si>
  <si>
    <t>200000_over</t>
  </si>
  <si>
    <t>Les déplacements rapportés dans les sections précédentes représentent-ils la mobilité de votre ménage le {{assignedDate}}?
__Cette question n’est posée que pour des fins statistiques. Si vous répondez Non, on ne vous demandera ni de revenir en arrière ni de corriger ce qui est inscrit. De plus, votre éligibilité au tirage ne sera pas affectée.__</t>
  </si>
  <si>
    <t>didRespondForCorrectAssignedDate</t>
  </si>
  <si>
    <t>didNotRespondForCorrectAssignedDateReasons</t>
  </si>
  <si>
    <t xml:space="preserve">**Pourquoi** n’avez-vous pas rapporté les déplacements du {{assignedDate}}? </t>
  </si>
  <si>
    <t>didRespondForCorrectAssignedDateChoices</t>
  </si>
  <si>
    <t>Non, les réponses fournies décrivent les déplacements d’une journée typique ou d'une autre journée</t>
  </si>
  <si>
    <t>Oui, les réponses fournies décrivent bien les déplacements du {{assignedDate}}</t>
  </si>
  <si>
    <t>Je n'avais pas vu la date </t>
  </si>
  <si>
    <t>Au moins une personne du ménage était en dehors du territoire </t>
  </si>
  <si>
    <t>La mobilité d'une personne au moins était inconnue </t>
  </si>
  <si>
    <t>Déplacements ou modes non représentatifs </t>
  </si>
  <si>
    <t>Au moins une personne ne s'était pas déplacée </t>
  </si>
  <si>
    <t>Trop long pour tout déclarer </t>
  </si>
  <si>
    <t>didNotRespondForCorrectAssignedDateConditional</t>
  </si>
  <si>
    <t>didRespondForCorrectAssignedDateConditional</t>
  </si>
  <si>
    <t>si EP question respect jour assigné</t>
  </si>
  <si>
    <t>Seriez-vous intéressés à **participer à d'autres études** menées par l'ARTM et la Chaire Mobilité de Polytechnique Montréal?</t>
  </si>
  <si>
    <t>Veuillez fournir une **adresse courriel** de contact pour participer à ces études</t>
  </si>
  <si>
    <t>Les questions suivantes sont ajoutées à des fins de recherche sur les méthodes d’enquête. Vous pouvez terminer l’enquête sans y répondre.</t>
  </si>
  <si>
    <t xml:space="preserve">**Merci pour votre participation!**
__Vous pouvez modifier vos réponses en cliquant sur les sections dans le menu ci-dessus.__
Nous vous remercions d'avoir pris le temps de remplir ce questionnaire. **Vos réponses ont été enregistrées avec succès.** Si vous avez fourni un courriel et coché la boite indiquand votre intérêt à articiper au concours, vous êtes admissible au tirage de prix de participation.
Les données que vous nous avez fournies contribueront aux efforts de planification de l'ARTM et de ses partenaires ainsi qu’à favoriser une meilleure compréhension des enjeux d'accès et de mobilité dans la grande région de Montréal.
Vous vivez dans le [territoire de l’ARTM](lien_carte) et vous êtes intéressé(e) à contribuer à l’amélioration de la mobilité en donnant votre avis de manière périodique? Cinq cents dollars (**500 $**) sont à gagner parmi les participants chaque mois et **1 000 $** par année. Veuillez **cliquer sur le bouton suivant pour vous inscrire au panel Parlons mobilité** de l’ARTM :
</t>
  </si>
  <si>
    <t>Adapter la phrase si un seul enfant de 0-4ans avec le nickname et age. 
Pour les conditions SI EP garderie ET au moins un enfant de 0-4ans ET aucun dép. reconduire/aller chercher à une garderie/CPE (shp)</t>
  </si>
  <si>
    <t>toddlerDaycare</t>
  </si>
  <si>
    <t>toddlerDaycareCustomConditional</t>
  </si>
  <si>
    <t>toddlerDaycareDropoff</t>
  </si>
  <si>
    <t>toddlerDaycareDropoffMode</t>
  </si>
  <si>
    <t>toddlerDaycarePickupMode</t>
  </si>
  <si>
    <t>toddlerDaycarePickup</t>
  </si>
  <si>
    <t>toddlerDaycareConditional</t>
  </si>
  <si>
    <t>toddlerDaycareMode</t>
  </si>
  <si>
    <t>Marche</t>
  </si>
  <si>
    <t>Vélo</t>
  </si>
  <si>
    <t>Auto</t>
  </si>
  <si>
    <t>Transport en commun (bus, métro, train, REM)</t>
  </si>
  <si>
    <t>car</t>
  </si>
  <si>
    <t>Par quel moyen de transport?</t>
  </si>
  <si>
    <t>Qui a reconduit vos enfants à leur lieu de garde?</t>
  </si>
  <si>
    <t>Qui est allé chercher vos enfants à leur lieu de garde?</t>
  </si>
  <si>
    <t>hasOmittedTrips</t>
  </si>
  <si>
    <t>hasOmittedTripsIntro</t>
  </si>
  <si>
    <t>hasOmittedTripsActivity</t>
  </si>
  <si>
    <t>hasOmittedTripsMode</t>
  </si>
  <si>
    <t>hasOmittedTripsConditional</t>
  </si>
  <si>
    <t>hasOmittedTripsSpecifyConditional</t>
  </si>
  <si>
    <t>hasOmittedTripsActivities</t>
  </si>
  <si>
    <t>hasOmittedTripsModes</t>
  </si>
  <si>
    <t>__Cocher tous les **motifs** de déplacements associés avec vos déplacements non-rapportés, ainsi que les **modes** utilisés pour les effectuer.__</t>
  </si>
  <si>
    <t>Avez-vous ({{nickname}}) effectué au moins un déplacement le {{assignedDate}} que vous n'auriez pas rapporté?
__Par exemple, une marche au dépanneur, un café ou un souper avec amis, ou une balade santé avec le chien.
Vous n’aurez pas à revenir en arrière. Nos voulons juste savoir à quelle fréquence des déplacements sont omis.
Cette question n’est posée qu’à une seule personne du ménage dans l’objectif d’améliorer notre compréhension des limites des données.__</t>
  </si>
  <si>
    <t>brakesIntro</t>
  </si>
  <si>
    <t>__Les questions suivantes visent à mieux comprendre les comportements de mobilité au‑delà des déplacements déjà déclarés. 
Elles sont posées à un seul répondant du ménage.__</t>
  </si>
  <si>
    <t>anyTripModeFrequenciesIntro</t>
  </si>
  <si>
    <t>anyTripModeFrequenciesWalk</t>
  </si>
  <si>
    <t>anyTripModeFrequenciesBicycle</t>
  </si>
  <si>
    <t>anyTripModeFrequenciesTransit</t>
  </si>
  <si>
    <t>anyTripModeFrequenciesCarDriver</t>
  </si>
  <si>
    <t>anyTripModeFrequenciesCarPassenger</t>
  </si>
  <si>
    <t>anyTripModeFrequencies</t>
  </si>
  <si>
    <t>anyTripModeFrequenciesChoices</t>
  </si>
  <si>
    <t>À quelle **fréquence** utilisez-vous les **modes de transport** suivants?
__Pour leurs déplacements, tous motifs confondus, donc se rendre au travail ou aux études, pour accéder aux loisirs ou services, faire ses courses, accompagnement, etc. 
Pensez au mois en cours, hors tempêtes majeures.__</t>
  </si>
  <si>
    <t>Fréquence d'utilisation du mode : **Marche** (pour la majorité du trajet)</t>
  </si>
  <si>
    <t>Fréquence d'utilisation du mode : **Vélo** et autres modes actifs (trottinette, patins ou planches à roulettes)</t>
  </si>
  <si>
    <t>Fréquence d'utilisation du mode : **Transport en commun** (bus, métro, REM, train)</t>
  </si>
  <si>
    <t>Fréquence d'utilisation du mode : **Auto-passager**</t>
  </si>
  <si>
    <t>Fréquence d'utilisation du mode : **Auto-conducteur**</t>
  </si>
  <si>
    <t>attitudinalIntro</t>
  </si>
  <si>
    <t>Pour cette série de questions, nous vous demandons de quantifier dans quelle mesure vous êtes d’accord ou non avec une affirmation spécifique </t>
  </si>
  <si>
    <t>attitudinal</t>
  </si>
  <si>
    <t>attitudinalChoices</t>
  </si>
  <si>
    <t>Pour le déplacement indiqué ci-dessus, vous avez utilisé la voiture {{mode:comme conducteur/comme passager}}. Pour chacun des éléments suivants, **indiquez s’ils ont constitué un frein à l’utilisation du transport en commun** (bus, métro, train ou REM), pour ce **déplacement**.</t>
  </si>
  <si>
    <t>brakesChoices</t>
  </si>
  <si>
    <t>Pour le déplacement indiqué ci-dessus, vous avez utilisé le transport adapté. Pour chacun des éléments suivants, **indiquez s’ils ont constitué un frein à l’utilisation du transport en commun service régulier** (bus, métro, train ou REM), pour ce **déplacement**.</t>
  </si>
  <si>
    <t>**Type(s) d’aide à la mobilité utilisé(s)** pour les déplacements de {{nickname}} en dehors de la maison
__Facultatif__</t>
  </si>
  <si>
    <t>RadioNumberCustom</t>
  </si>
  <si>
    <t>label::en_test</t>
  </si>
  <si>
    <t>Do not know</t>
  </si>
  <si>
    <t>Prefer not to provide a response</t>
  </si>
  <si>
    <t>Identifies otherwise (specify if desired)</t>
  </si>
  <si>
    <t>Yes, full time (30h or more/week)</t>
  </si>
  <si>
    <t>Childcare centre / CPE</t>
  </si>
  <si>
    <t>High school</t>
  </si>
  <si>
    <t>Homeschool</t>
  </si>
  <si>
    <t>Employed full-time (30h or more/week)</t>
  </si>
  <si>
    <t>Retired or at home</t>
  </si>
  <si>
    <t>Unemployed / job seeking</t>
  </si>
  <si>
    <t>Monthly or annual pass or ticket</t>
  </si>
  <si>
    <t>Individual tickets or fares</t>
  </si>
  <si>
    <t>Yes, always on-site at a fixed workplace</t>
  </si>
  <si>
    <t>Yes, work on the road departing from a fixed location (e.g. garage, office, station, restaurant, etc.)</t>
  </si>
  <si>
    <t>No, work from home or remotely</t>
  </si>
  <si>
    <t>Yes, studies at a fixed location, always on-site</t>
  </si>
  <si>
    <t>No, studies from home or remotely</t>
  </si>
  <si>
    <t>A few times per month (4 to 12)</t>
  </si>
  <si>
    <t>One or more times per week (13 or more)</t>
  </si>
  <si>
    <t>Less than $15,000</t>
  </si>
  <si>
    <t>$15,000 to $29,999</t>
  </si>
  <si>
    <t>$30,000 to $44,999</t>
  </si>
  <si>
    <t>$45,000 to $59,999</t>
  </si>
  <si>
    <t>$60,000 to $79,999</t>
  </si>
  <si>
    <t>$80,000 to $99,999</t>
  </si>
  <si>
    <t>$100,000 to $149,999</t>
  </si>
  <si>
    <t>$150,000 to $199,999</t>
  </si>
  <si>
    <t>$200,000 and over</t>
  </si>
  <si>
    <t>Stayed overnight at a **friend’s, partner’s or family’s home**</t>
  </si>
  <si>
    <t>Was at or coming back from a **restaurant or bar**</t>
  </si>
  <si>
    <t>Hotel or other venue for a **conference / work**</t>
  </si>
  <si>
    <t>Hotel or other place on **vacation**</t>
  </si>
  <si>
    <t>Usual workplace</t>
  </si>
  <si>
    <t>{{nickname}} completed their work on the road trips after 4:00 a.m. the next day</t>
  </si>
  <si>
    <t>School was closed or no classes</t>
  </si>
  <si>
    <t>Strike</t>
  </si>
  <si>
    <t>High school diploma or equivalency certificate</t>
  </si>
  <si>
    <t>College or CEGEP diploma</t>
  </si>
  <si>
    <t>Bachelor’s degree or higher</t>
  </si>
  <si>
    <t>Yes, {{nickname}} worked always on-site at a fixed workplace</t>
  </si>
  <si>
    <t>Yes, {{nickname}} worked on the road departing from a fixed location (e.g. garage, office, station, restaurant, etc.)</t>
  </si>
  <si>
    <t>No, {{nickname}} worked from home or remotely</t>
  </si>
  <si>
    <t>Yes, I live there more than 50% of the time</t>
  </si>
  <si>
    <t>No, it is my secondary residence and my household mainly lives at another address</t>
  </si>
  <si>
    <t>Private driveway, garage or reserved parking space</t>
  </si>
  <si>
    <t>Residential parking permit</t>
  </si>
  <si>
    <t>Yes (monthly, seasonal)</t>
  </si>
  <si>
    <t>No (pay per trip)</t>
  </si>
  <si>
    <t>ARTM monthly or annual pass</t>
  </si>
  <si>
    <t>ARTM monthly or annual pass (including senior passes)</t>
  </si>
  <si>
    <t>ARTM individual tickets or fares</t>
  </si>
  <si>
    <t>Other pass or fare (SJSR, STC Sorel-Tracy, MRC Joliette, etc.)</t>
  </si>
  <si>
    <t>All modes A</t>
  </si>
  <si>
    <t>All modes AB</t>
  </si>
  <si>
    <t>All modes ABC</t>
  </si>
  <si>
    <t>All modes ABCD</t>
  </si>
  <si>
    <t>Out-of-territory bus (CD)</t>
  </si>
  <si>
    <t>OPUS card with individual fares only</t>
  </si>
  <si>
    <t>Other out-of-territory (SJSR, STC Sorel-Tracy, MRC Joliette, etc.)</t>
  </si>
  <si>
    <t>None for the current month</t>
  </si>
  <si>
    <t>Hearing</t>
  </si>
  <si>
    <t>Visual</t>
  </si>
  <si>
    <t>Cognitive (e.g. memory, attention, comprehension, learning difficulty, etc.)</t>
  </si>
  <si>
    <t>Mental health (e.g. anxiety, depression, mental health disorder, etc.)</t>
  </si>
  <si>
    <t>Intellectual disability or autism spectrum disorder (ASD)</t>
  </si>
  <si>
    <t>Motor (e.g. reduced mobility, flexibility, paralysis, amputation, etc.)</t>
  </si>
  <si>
    <t>Limitation related to a chronic illness or health condition (e.g. cardiac, respiratory, pain, etc.)</t>
  </si>
  <si>
    <t>Speech or language disorder</t>
  </si>
  <si>
    <t>Fine motor skills (e.g. dexterity, agility, etc.)</t>
  </si>
  <si>
    <t>Crutches or cane</t>
  </si>
  <si>
    <t>White cane</t>
  </si>
  <si>
    <t>Assistance dog or guide dog</t>
  </si>
  <si>
    <t>Manual wheelchair (with or without electric assistance)</t>
  </si>
  <si>
    <t>Powered wheelchair</t>
  </si>
  <si>
    <t>Walker or rollator</t>
  </si>
  <si>
    <t>Three- or four-wheeled scooter</t>
  </si>
  <si>
    <t>No specific mobility aids</t>
  </si>
  <si>
    <t>Never in the last 12 months</t>
  </si>
  <si>
    <t>1 to a few days in the last 12 months</t>
  </si>
  <si>
    <t>1 to 3 days per month</t>
  </si>
  <si>
    <t>1 to 4 days per week</t>
  </si>
  <si>
    <t>5 to 7 days per week</t>
  </si>
  <si>
    <t>No, {{nickname}} stayed in {{household.persons.{_activePersonId}.journeys.{_activeJourneyId}.departurePlaceOther}} until the next day</t>
  </si>
  <si>
    <t>Yes, {{nickname}} returned home before the next day</t>
  </si>
  <si>
    <t>Other mode</t>
  </si>
  <si>
    <t>Other mode (including motorcycle)</t>
  </si>
  <si>
    <t>Household consisting of **one single family, with no other person**</t>
  </si>
  <si>
    <t>**Multigenerational** household (e.g. parents, children and grandparents living together)</t>
  </si>
  <si>
    <t>Household consisting of **multiple families** (e.g. two couples living together)</t>
  </si>
  <si>
    <t>Household consisting of **one family and other person(s)** (e.g. couple with a child living with an uncle)</t>
  </si>
  <si>
    <t>Household of **two or more people with no family relationship** (e.g. two siblings living together)</t>
  </si>
  <si>
    <t>Household formed by a **couple with child(ren)**</t>
  </si>
  <si>
    <t>Household formed by a **couple without children**</t>
  </si>
  <si>
    <t>Household formed by a **single parent with child(ren)**</t>
  </si>
  <si>
    <t>Yes, the responses provided accurately describe travel on {{assignedDate}}</t>
  </si>
  <si>
    <t>No, the responses describe travel on a typical day or another day</t>
  </si>
  <si>
    <t>I did not notice the date</t>
  </si>
  <si>
    <t>At least one household member was outside the territory</t>
  </si>
  <si>
    <t>At least one person’s mobility was unknown</t>
  </si>
  <si>
    <t>Trips or modes were not representative</t>
  </si>
  <si>
    <t>At least one person did not travel</t>
  </si>
  <si>
    <t>Too long to report everything</t>
  </si>
  <si>
    <t>Walking</t>
  </si>
  <si>
    <t>Bicycle</t>
  </si>
  <si>
    <t>Car</t>
  </si>
  <si>
    <t>Public transit (bus, metro, train, REM)</t>
  </si>
  <si>
    <t>Professional
__engineer, analyst, teacher, researcher, health professional…__</t>
  </si>
  <si>
    <t>Office work / administration
__clerk, administrative assistant, secretariat, administrative support…__</t>
  </si>
  <si>
    <t>Sales and services
__retail, customer service, food services, personal services…__</t>
  </si>
  <si>
    <t>Manufacturing, trades and other jobs
__factory, construction, skilled trades, transportation, warehousing…__</t>
  </si>
  <si>
    <r>
      <t>I would like to participate in the **prize draw**
__Only winners will be contacted and an entry for the prize draw requires a complete and valid survey response</t>
    </r>
    <r>
      <rPr>
        <sz val="11"/>
        <color rgb="FFFF0000"/>
        <rFont val="Aptos Narrow"/>
        <family val="2"/>
        <scheme val="minor"/>
      </rPr>
      <t>([View rules](lien))__</t>
    </r>
  </si>
  <si>
    <t>Please enter the email so we can contact you.</t>
  </si>
  <si>
    <t>**Home location**
Search for your home using its postal code or address by clicking the button below, or please position the location on the map by navigating, zooming, and clicking. Once the location is located, you can move the point for greater precision.</t>
  </si>
  <si>
    <t>**Persons usually living in your home**
__Including yourself and children in shared custody if they were at your home on {{assignedDate}}.__</t>
  </si>
  <si>
    <t>Does your household have access to a **private driveway, garage, or reserved parking space?**</t>
  </si>
  <si>
    <t>**Bicycles** owned by household members
__Include only bicycles belonging to teenagers or adults that are in usable condition, including electric-assist bicycles. Do not include children’s bicycles.__</t>
  </si>
  <si>
    <t>Parmi ces vélos, combien sont des **vélo(s) à assistance électrique**</t>
  </si>
  <si>
    <t>**Vélo en libre-service** (ex. BIXI) : utilisation dans les 30 derniers jours
__Par au moins une personne du ménage__</t>
  </si>
  <si>
    <t>**Âge** (en années)
__Inscrire 0 pour les bébés de moins de 1 an__</t>
  </si>
  <si>
    <t>**Age** (in years)
__Enter 0 for babies under the age of 1 year__</t>
  </si>
  <si>
    <t>**Sex at birth**
__May differ from the sex assigned at birth or that which appears on legal documents.__</t>
  </si>
  <si>
    <t>**Vélo en libre-service** (ex. BIXI) : utilisation dans les 30 derniers jours</t>
  </si>
  <si>
    <t>**Abonnement BIXI**
__Valide pour le mois en cours__</t>
  </si>
  <si>
    <t>**BIXI membership**
__Valid for the current month__</t>
  </si>
  <si>
    <t xml:space="preserve">**Bikeshare** (ex. BIXI): used in the last 30 days
</t>
  </si>
  <si>
    <t>**Carshare** (ex. Communauto, Leo): used 
as driver in the past 6 months</t>
  </si>
  <si>
    <t>**Bikeshare** (BIXI): used in the last 30 days
__by at least one household member__</t>
  </si>
  <si>
    <t>**Type of pass or subscription** used for public transit in the past 30 days
__Include free passes.
ARTM fare products allow access to STM (metro and bus), STL, RTL, exo (train and bus), and the REM.__</t>
  </si>
  <si>
    <t>… which one(s)?
__Optional__</t>
  </si>
  <si>
    <t>**Most used**
__Optional__</t>
  </si>
  <si>
    <t>Is {{nickname}} registered for **paratransit services?**
__STM, RTL, STL, exo, etc.
Optional__</t>
  </si>
  <si>
    <r>
      <t>**Type(s) of mobility aid(s)</t>
    </r>
    <r>
      <rPr>
        <sz val="11"/>
        <color rgb="FFFF0000"/>
        <rFont val="Aptos Narrow"/>
        <family val="2"/>
        <scheme val="minor"/>
      </rPr>
      <t>**</t>
    </r>
    <r>
      <rPr>
        <sz val="11"/>
        <rFont val="Aptos Narrow"/>
        <family val="2"/>
        <scheme val="minor"/>
      </rPr>
      <t>,</t>
    </r>
    <r>
      <rPr>
        <sz val="11"/>
        <color rgb="FFFF0000"/>
        <rFont val="Aptos Narrow"/>
        <family val="2"/>
        <scheme val="minor"/>
      </rPr>
      <t xml:space="preserve"> if any,</t>
    </r>
    <r>
      <rPr>
        <sz val="11"/>
        <rFont val="Aptos Narrow"/>
        <family val="2"/>
        <scheme val="minor"/>
      </rPr>
      <t xml:space="preserve"> used for {{nickname}}’s travel outside the home
__Optional__</t>
    </r>
  </si>
  <si>
    <t>In the past 12 months, how often has {{nickname}} used **paratransit services?**
__Optional__</t>
  </si>
  <si>
    <t>In the past 12 months, how often has {{nickname}} used **public transit** (regular service)?
__Include metro, REM, commuter train, and buses (e.g., STM, STL, RTL, exo, etc.).
Optional__</t>
  </si>
  <si>
    <t>**Worker**
__Including self-employed workers, artists, or those on long-term leave.__</t>
  </si>
  <si>
    <t>**Type of employment** of {{nickname}}</t>
  </si>
  <si>
    <t>Does {{nickname}} have a fixed **workplace**?</t>
  </si>
  <si>
    <t xml:space="preserve">Number of days per week {{nickname}} works
__In a typical week. Whether or not travel is required for work.__
</t>
  </si>
  <si>
    <t>Number of days per week {{nickname}} travels outside the home for work
__In a typical week. Enter 0 if the person does not have a workplace or works exclusively from home.__</t>
  </si>
  <si>
    <t>Qui répond pour {{nickname}}?
__Si  {{nickname}} est disponible, {{gender:il/elle/iel}} peut venir compléter ou vous pouvez répondre aux prochaines questions pour {{gender:il/elle/iel}}__</t>
  </si>
  <si>
    <t>Who is responding for {{nickname}}?
__If {{nickname}} is available, {{gender:he/she/they}} can complete this section, or you may answer the following questions on {{gender:his/her/their}} behalf.__</t>
  </si>
  <si>
    <t>Has {{nickname}} returned home at {{address}} on {{assignedDate}}?</t>
  </si>
  <si>
    <t>Were other household members with {{nickname}} all day?</t>
  </si>
  <si>
    <t>Name or address of the place (ex: …)</t>
  </si>
  <si>
    <t>At what time did {{nickname}} arrive at {{onTheRoadDepartureType}} before starting their trips on the road?</t>
  </si>
  <si>
    <t>{{nickname}} started their trips on the road at:</t>
  </si>
  <si>
    <t>{{nickname}} ended their trips on the road at:</t>
  </si>
  <si>
    <t>Please locate this place on the map
__Navigate, zoom and click on map. Once a pin icon has been dropped, you will be able to drag the icon to specify a more precise location. You can also search for a place using its name or address with the button below.__</t>
  </si>
  <si>
    <t>**You didn't report any study trips** for {{nickname}} on {{assignedDate}}</t>
  </si>
  <si>
    <t>Does {{nickname}} attend **a school or educational institution for studies?**
__Answer “No” only if {{nickname}} takes courses exclusively online.__</t>
  </si>
  <si>
    <t>What mode of transportation does {{nickname}} usually use **to travel to their workplace?**
__If multiple modes are used, indicate the one that represents the largest share of distance traveled.
If {{nickname}} works at multiple locations, respond based on the location visited most frequently.__</t>
  </si>
  <si>
    <t>What mode of transportation was used?</t>
  </si>
  <si>
    <t>Did you ({{nickname}}) make at least one trip on {{assignedDate}} that you did not report?
__For example, a walk to the convenience store, going out for coffee or dinner with friends, or a health walk with the dog.
You will not need to go back and update anything. We just want to know how often trips are missed.
This question is only asked to one person in the household in order to improve our understanding of the limitations of the data.__</t>
  </si>
  <si>
    <t>__Check all the **purposes** for your unreported trips, as well as the **modes of transportation** used to make them.__</t>
  </si>
  <si>
    <t>__The following questions aim to better understand mobility behavior beyond the trips already reported.
They are asked to only one respondent in the household.__</t>
  </si>
  <si>
    <t>Frequency of use of the mode: **Walk** (for most of the trip)</t>
  </si>
  <si>
    <t>Frequency of use of the mode: **Bike** and other active modes (scooter, rollerblades, skateboards)</t>
  </si>
  <si>
    <t>**How often** do you use the following **modes of transportation?**
__For your trips, for all purposes combined, such as commuting to work or school, accessing leisure activities or services, grocery shopping, accompanying someone, etc.
Think about the current month, excluding major storms.__</t>
  </si>
  <si>
    <t>Frequency of use of the mode: **Public transit** (bus, metro, REM, train)</t>
  </si>
  <si>
    <t>Frequency of use of the mode: **Car passenger**</t>
  </si>
  <si>
    <t>Frequency of use of the mode: **Car driver**</t>
  </si>
  <si>
    <t>For this set of questions, we ask you to indicate how much you agree or disagree with a specific statement.</t>
  </si>
  <si>
    <r>
      <t xml:space="preserve">For the trip indicated above, you used a car {{mode:as a driver/as a passenger}}. For each of the following items, **indicate whether they were a </t>
    </r>
    <r>
      <rPr>
        <sz val="11"/>
        <color rgb="FFFF0000"/>
        <rFont val="Aptos Narrow"/>
        <family val="2"/>
        <scheme val="minor"/>
      </rPr>
      <t>barrier</t>
    </r>
    <r>
      <rPr>
        <sz val="11"/>
        <rFont val="Aptos Narrow"/>
        <family val="2"/>
        <scheme val="minor"/>
      </rPr>
      <t xml:space="preserve"> to using public transit** (bus, metro, train, or REM) for this **trip**.</t>
    </r>
  </si>
  <si>
    <t>For the trip indicated above, you used paratransit. For each of the following items, **indicate whether they were a barrier to using regular public transit service** (bus, metro, train, or REM) for this **trip**.</t>
  </si>
  <si>
    <r>
      <t>Would you be interested in **being contacted again** for a more in-depth survey on **</t>
    </r>
    <r>
      <rPr>
        <sz val="11"/>
        <color rgb="FFFF0000"/>
        <rFont val="Aptos Narrow"/>
        <family val="2"/>
        <scheme val="minor"/>
      </rPr>
      <t>intercity</t>
    </r>
    <r>
      <rPr>
        <sz val="11"/>
        <rFont val="Aptos Narrow"/>
        <family val="2"/>
        <scheme val="minor"/>
      </rPr>
      <t xml:space="preserve"> trips**?</t>
    </r>
  </si>
  <si>
    <r>
      <t>Please provide the **email address** where you can be reached to participate in a survey on **</t>
    </r>
    <r>
      <rPr>
        <sz val="11"/>
        <color rgb="FFFF0000"/>
        <rFont val="Aptos Narrow"/>
        <family val="2"/>
        <scheme val="minor"/>
      </rPr>
      <t>intercity</t>
    </r>
    <r>
      <rPr>
        <sz val="11"/>
        <rFont val="Aptos Narrow"/>
        <family val="2"/>
        <scheme val="minor"/>
      </rPr>
      <t xml:space="preserve"> trips**</t>
    </r>
  </si>
  <si>
    <t>Which of the following situations best describes your household?</t>
  </si>
  <si>
    <t>More specifically?</t>
  </si>
  <si>
    <t>Among the vehicles owned by your household, how many are **plug-in hybrid vehicles**?
__Optional
Do not include hybrid vehicles powered by an internal combustion engine__</t>
  </si>
  <si>
    <t>Parmi les véhicules possédés par votre ménage, combien sont des **véhicules électriques**?
__Facultatif__</t>
  </si>
  <si>
    <t>Parmi les véhicules possédés par votre ménage, combien sont des **véhicules hybrides rechargeables**?
____Facultatif
Ne pas inclure les véhicules hybrides avec moteur à combustion__</t>
  </si>
  <si>
    <t>**Why** did you not report your trips for {{assignedDate}}?</t>
  </si>
  <si>
    <t>Do the trips reported in the previous sections reflect your household’s travel on {{assignedDate}}?
__This question is for statistical purposes only. If you answer No, you will not be asked to go back or correct your responses. Your eligibility for the draw will not be affected.__</t>
  </si>
  <si>
    <t>Would you be interested in **participating in other studies** conducted by the ARTM and the Chaire Mobility of Polytechnique Montreal?</t>
  </si>
  <si>
    <t>**Thank you for your participation!**
__You can modify your answers by clicking on the sections in the menu above.__
Thank you for taking the time to complete this questionnaire. **Your responses have been successfully recorded**. If you provided an email address and checked the box indicating your interest in participating in the contest, you are eligible for the prize draw.
The data you have provided will support the planning efforts of the ARTM and its partners, and help improve understanding of accessibility and mobility issues in the Greater Montréal area.
Do you live within the ARTM territory and are you interested in helping improve mobility by sharing your opinion on a regular basis? You could win **$500** each month and **$1,000** annually. Please click the button below to sign up for the ARTM’s **Let's talk mobility panel**.</t>
  </si>
  <si>
    <t>Did at least one of your children attend a childcare center (daycare or CPE) on {{assignedDate}}?</t>
  </si>
  <si>
    <t>Who dropped off your children at their childcare center?</t>
  </si>
  <si>
    <t>Who picked up your children from their childcare center?</t>
  </si>
  <si>
    <t>L’opinion des personnes qui comptent pour moi (famille, amis, collègues) influence mes choix de mode de transport pour mes trajets habituels.</t>
  </si>
  <si>
    <t>La voiture personnelle représente pour moi l’indépendance et l’autonomie.</t>
  </si>
  <si>
    <t>Globalement, le transport en commun dans la région où j’habite est utile et de bonne qualité.</t>
  </si>
  <si>
    <t>Je connais bien les services de transport en commun qui desservent mon domicile et mes lieux d’activité habituels (lignes, arrêts principaux, fréquences).</t>
  </si>
  <si>
    <t xml:space="preserve">Mes activités habituelles exigent un niveau élevé de mobilité et de flexibilité (nombreux déplacements, destinations diverses, variabilité des horaires, etc.). </t>
  </si>
  <si>
    <t xml:space="preserve">Il me serait facile de réaliser la plupart de mes déplacements sans voiture personnelle, en utilisant le transport en commun ou les modes actifs. </t>
  </si>
  <si>
    <t>Dans le choix de mon lieu de résidence, l’accès à pied (≈ 5–15 minutes) à un arrêt ou une station avec un service fréquent aux heures où je me déplace est important pour moi.</t>
  </si>
  <si>
    <t>La **durée de marche** jusqu’à un arrêt ou une station (au départ ou à l’arrivée)</t>
  </si>
  <si>
    <t>La **durée totale du déplacement**, de porte-à-porte (marche + attente + temps à bord + correspondances)</t>
  </si>
  <si>
    <t>Le **nombre de correspondances** nécessaires (changements de ligne ou de mode)</t>
  </si>
  <si>
    <t>La **sécurité** (manque de luminosité dans les terminus et stations, absence de personnel dans le réseau, etc.)</t>
  </si>
  <si>
    <t>La **planification du déplacement** (facilité de trouver l'information, site web accessible, etc.)</t>
  </si>
  <si>
    <t>Le **manque d’accessibilité** (ascenseurs, rampes, sièges réservés, bancs, affichage visuel, information sonore, etc.)</t>
  </si>
  <si>
    <t>Le **manque de civilité** (céder son siège, enlever son sac, gens qui bloquent l’accès à un poteau pour se tenir ou devant les portes) et/ou la présence d’**attitude discriminatoire** (regard hostile) </t>
  </si>
  <si>
    <t>didNotNoticeAssignedDate</t>
  </si>
  <si>
    <t>onVacationOrOutsideMontrealRegion</t>
  </si>
  <si>
    <t>tooManyTripsToDeclareTooLong</t>
  </si>
  <si>
    <t>tripsNotRepresentativeOfUsualTravelHabits</t>
  </si>
  <si>
    <t>atLeastOneHouseholdMemberDidNotMakeAnyTrip</t>
  </si>
  <si>
    <t>didNotKnowTripsForAtLeastOneHouseholdMember</t>
  </si>
  <si>
    <t>hearing</t>
  </si>
  <si>
    <t>visual</t>
  </si>
  <si>
    <t>cognitiveOrPsychic</t>
  </si>
  <si>
    <t>intellectualOrTSA</t>
  </si>
  <si>
    <t>motor</t>
  </si>
  <si>
    <t>speechOrLanguageDisorder</t>
  </si>
  <si>
    <t>whiteCane</t>
  </si>
  <si>
    <t>walkerOrRollator</t>
  </si>
  <si>
    <t>mentalHealth</t>
  </si>
  <si>
    <t>chronicIllness</t>
  </si>
  <si>
    <t>fineMotorSkills</t>
  </si>
  <si>
    <t>crutchOrCane</t>
  </si>
  <si>
    <t>serviceOrGuideDog</t>
  </si>
  <si>
    <t>manualWheelchair</t>
  </si>
  <si>
    <t>motorisedWheelchair</t>
  </si>
  <si>
    <t>threeOrFourwheeledScooter</t>
  </si>
  <si>
    <t>noSpecificDevice</t>
  </si>
  <si>
    <t>never</t>
  </si>
  <si>
    <t>professional</t>
  </si>
  <si>
    <t>manufacturing</t>
  </si>
  <si>
    <t>1orMorePerYear</t>
  </si>
  <si>
    <t>1to3daysPerMonth</t>
  </si>
  <si>
    <t>1to4daysPerWeek</t>
  </si>
  <si>
    <t>5to7daysPerWeek</t>
  </si>
  <si>
    <t>administration</t>
  </si>
  <si>
    <t>salesAndServices</t>
  </si>
  <si>
    <t>Quel mode de transport a été utilisé pour les déplacements sur la route?</t>
  </si>
  <si>
    <t>Veuillez indiquer le mode principal utilisé pour effectuer les déplacements sur la route :</t>
  </si>
  <si>
    <t>strollConditional</t>
  </si>
  <si>
    <t>modesWorkOnTheRoad</t>
  </si>
  <si>
    <t>modesStroll</t>
  </si>
  <si>
    <t>modeStroll</t>
  </si>
  <si>
    <t>leisureStroll</t>
  </si>
  <si>
    <t>carDriverPersonnal</t>
  </si>
  <si>
    <t>carDriverProfesionnal</t>
  </si>
  <si>
    <t>Conducteur (véhicule personnel)</t>
  </si>
  <si>
    <t>Conducteur (véhicule de travail ou commercial)</t>
  </si>
  <si>
    <t>Passager (de véhicule personnel, de travail ou commercial)</t>
  </si>
  <si>
    <t>Transport en commun (bus, métro, REM, train de banlieue, ...)</t>
  </si>
  <si>
    <t>Vélo ou vélo électrique</t>
  </si>
  <si>
    <t>Autre mobilité active (course, trottinette, skateboard)</t>
  </si>
  <si>
    <t>Auto en tant que conducteur</t>
  </si>
  <si>
    <t>Auto en tant que passager</t>
  </si>
  <si>
    <t>Transport en commun</t>
  </si>
  <si>
    <t>bicycle</t>
  </si>
  <si>
    <t>otherActiveModes</t>
  </si>
  <si>
    <t>Veuillez indiquer le mode principal utilisé pour effectuer la promenade :</t>
  </si>
  <si>
    <t>Quel mode de transport a été utilisé pour la promenade?</t>
  </si>
  <si>
    <t>segmentSameModeAsPreviousTrip</t>
  </si>
  <si>
    <t>sameModeAsPreviousTrip</t>
  </si>
  <si>
    <t>sameModeAsPreviousTripCustomConditional</t>
  </si>
  <si>
    <t>segmentWorkOnTheRoad</t>
  </si>
  <si>
    <t>segmentStrool</t>
  </si>
  <si>
    <t>isCarDriverAndDestinationCustomConditional</t>
  </si>
  <si>
    <t>paidForParkingChoices</t>
  </si>
  <si>
    <t>noPark</t>
  </si>
  <si>
    <t>**Non** (gratuit)</t>
  </si>
  <si>
    <t>**Oui** (parcomètre, vignette, passe ou permis)</t>
  </si>
  <si>
    <t>Le véhicule n'a pas été stationné</t>
  </si>
  <si>
    <t>**Non** (gratuit ou payé par l'employeur)</t>
  </si>
  <si>
    <t>workConditional</t>
  </si>
  <si>
    <t>workUsualPlace</t>
  </si>
  <si>
    <t>notWorkConditional</t>
  </si>
  <si>
    <t>subwayStationStart</t>
  </si>
  <si>
    <t>subwayStationEnd</t>
  </si>
  <si>
    <t>subwayStationsTransfert</t>
  </si>
  <si>
    <t>subwayLine</t>
  </si>
  <si>
    <t>trainStationStart</t>
  </si>
  <si>
    <t>trainStationEnd</t>
  </si>
  <si>
    <t>remStationStart</t>
  </si>
  <si>
    <t>remStationEnd</t>
  </si>
  <si>
    <t>segmentSubwayStationStart</t>
  </si>
  <si>
    <t>segmentSubwayStationEnd</t>
  </si>
  <si>
    <t>segmentSubwayStationsTransfert</t>
  </si>
  <si>
    <t>segmentSubwayLine</t>
  </si>
  <si>
    <t>segmentTrainStationStart</t>
  </si>
  <si>
    <t>segmentTrainStationEnd</t>
  </si>
  <si>
    <t>segmentRemStationStart</t>
  </si>
  <si>
    <t>segmentRemStationEnd</t>
  </si>
  <si>
    <t xml:space="preserve">**Station d'embarquement** (au départ) : </t>
  </si>
  <si>
    <t xml:space="preserve">**Station de débarquement** (à l'arrivée) : </t>
  </si>
  <si>
    <t>**Station(s) de transfert** :
__Choisir "aucune" si aucun transfert n'a été effectué__</t>
  </si>
  <si>
    <t>**Ligne empruntée** entre BerriUQAM et LionelGroulx :</t>
  </si>
  <si>
    <t xml:space="preserve">**Gare d'embarquement** (au départ) : </t>
  </si>
  <si>
    <t xml:space="preserve">**Gare de débarquement** (à l'arrivée) : </t>
  </si>
  <si>
    <t>planeStationStart</t>
  </si>
  <si>
    <t>planeStationEnd</t>
  </si>
  <si>
    <t>intercityBusStationStart</t>
  </si>
  <si>
    <t>intercityBusStationEnd</t>
  </si>
  <si>
    <t>intercityRailStationStart</t>
  </si>
  <si>
    <t>segmentPlaneStationStart</t>
  </si>
  <si>
    <t>segmentIntercityRailStationStart</t>
  </si>
  <si>
    <t>segmentIntercityBusStationStart</t>
  </si>
  <si>
    <t>segmentPlaneStationEnd</t>
  </si>
  <si>
    <t>segmentIntercityBusStationEnd</t>
  </si>
  <si>
    <t>Aéroport de départ</t>
  </si>
  <si>
    <t>Gare de départ</t>
  </si>
  <si>
    <t>Aéroport d’arrivée</t>
  </si>
  <si>
    <t>Gare d'arrivée</t>
  </si>
  <si>
    <t>planeStationChoices</t>
  </si>
  <si>
    <t>intercityRailStationStartChoices</t>
  </si>
  <si>
    <t>intercityBusStationStartChoices</t>
  </si>
  <si>
    <t>YUL</t>
  </si>
  <si>
    <t>YHU</t>
  </si>
  <si>
    <t>Aéroport international Pierre-Elliott-Trudeau de Montréal (YUL)</t>
  </si>
  <si>
    <t>Aéroport Montréal Saint-Hubert (YHU)</t>
  </si>
  <si>
    <t>Gare Centrale (Montréal)</t>
  </si>
  <si>
    <t>Dorval</t>
  </si>
  <si>
    <t>Coteau</t>
  </si>
  <si>
    <t>Saint-Lambert</t>
  </si>
  <si>
    <t>Gare d'autocars de Montréal (1717 rue Berri)</t>
  </si>
  <si>
    <t>Terminus Megabus (1000 de la Gauchetière)</t>
  </si>
  <si>
    <t>Aéroport de Montréal (YUL)</t>
  </si>
  <si>
    <t>Kirkland</t>
  </si>
  <si>
    <t>Terminus intermodal de Longueuil</t>
  </si>
  <si>
    <t>centralStation</t>
  </si>
  <si>
    <t>dorvalStation</t>
  </si>
  <si>
    <t>coteauStation</t>
  </si>
  <si>
    <t>saintLambertStation</t>
  </si>
  <si>
    <t>terminusMegabus</t>
  </si>
  <si>
    <t>terminusKirkland</t>
  </si>
  <si>
    <t>terminusLongueuil</t>
  </si>
  <si>
    <t>gareAutocarsMTL</t>
  </si>
  <si>
    <t>segmentIntercityAccessMode</t>
  </si>
  <si>
    <t>intercityAccessMode</t>
  </si>
  <si>
    <t>Bus (STM, STL, RTL, exo, etc.)</t>
  </si>
  <si>
    <t>Transport à la demande</t>
  </si>
  <si>
    <t>transitBus</t>
  </si>
  <si>
    <t>transitOnDemand</t>
  </si>
  <si>
    <t>segmentTransitAccessMode</t>
  </si>
  <si>
    <t>transitAccessMode</t>
  </si>
  <si>
    <t>transitEgressCustomConditional</t>
  </si>
  <si>
    <t>segmentTransitEgressMode</t>
  </si>
  <si>
    <t>transitEgressMode</t>
  </si>
  <si>
    <t>transitAccessCustomConditional</t>
  </si>
  <si>
    <t>transitModesChoices</t>
  </si>
  <si>
    <t>intercityModesChoices</t>
  </si>
  <si>
    <t>segmentIntercityEgressMode</t>
  </si>
  <si>
    <t>intercityEgressMode</t>
  </si>
  <si>
    <t>intercityAccessCustomConditional</t>
  </si>
  <si>
    <t>intercityEgressCustomConditional</t>
  </si>
  <si>
    <t>isNotLast</t>
  </si>
  <si>
    <t>Autre mode utilisé pour le déplacement avant l'arrivée?</t>
  </si>
  <si>
    <t>Is {{home.address}}, {{home.city}} your usual place of residence?
The usual place of residence is the dwelling where your household lives most of the time (at least 50%).</t>
  </si>
  <si>
    <t>**Motorcycles or scooters** requiring a licence
__Also known as mopeds or motorized scooters__</t>
  </si>
  <si>
    <t>**Parking** available at home for your household's vehicle(s)
__You may leave this question blank if none of the options apply to your situation.__</t>
  </si>
  <si>
    <t>**Public transit**: used in the past 30 days 
__Include metro, REM, commuter train, and buses (e.g., STM, STL, RTL, exo, etc.)__</t>
  </si>
  <si>
    <t>Nombre de jour(s) par semaine où {{nickname}} travaille
__Dans une semaine typique. Qu’il y ait déplacement ou non pour le travail.__</t>
  </si>
  <si>
    <t>Nombre de jour(s) par semaine où {nom} se déplace hors domicile pour le travail
__Dans une semaine typique. Indiquer 0 si la personne n’a pas de lieu de travail ou travaille que depuis son domicile__</t>
  </si>
  <si>
    <t>junctionPointPaidParking</t>
  </si>
  <si>
    <t>tripJunctionPaidParking</t>
  </si>
  <si>
    <t>junctionPaidParkingCustomConditional</t>
  </si>
  <si>
    <t>**Stationnement** en arrivant à {{mode: la gare/station/l’arrêt}}</t>
  </si>
  <si>
    <t>tripJunctionPrivateBus</t>
  </si>
  <si>
    <t>tripJunctionBusPrivate</t>
  </si>
  <si>
    <t>junctionPrivateBus</t>
  </si>
  <si>
    <t xml:space="preserve">**Lieu d’embarquement** (montée dans le bus) </t>
  </si>
  <si>
    <t xml:space="preserve">**Lieu de débarquement** (descente du bus) </t>
  </si>
  <si>
    <t>junctionBusPrivate</t>
  </si>
  <si>
    <t>junctionBusPrivateCustomConditional</t>
  </si>
  <si>
    <t>junctionPrivateBusCustomConditional</t>
  </si>
  <si>
    <t>Nous allons vous demander d'indiquer les lieux où {{nickname}} est all{{gender:é/ée/é(e)/é(e)}} le {{assignedDate}} 
- &lt;span class="_green"&gt;Inclure&lt;/span&gt; les lieux visités jusqu'à 4:00 le lendemain matin.
- &lt;span class="_green"&gt;Inclure&lt;/span&gt; même **les petits arrêts** (station-service, garderie/école, dépanneur ou tout lieu où {{nickname}} est all{{gender:é/ée/é(e)/é(e)}} chercher ou reconduire quelqu'un).
- &lt;span class="_green"&gt;Inclure&lt;/span&gt; **tous les lieux peu importe les modes de transport utilisés** pour s'y rendre (marche, vélo, voiture, transport collectif, taxi, avion, bateau, etc.).
- &lt;span class="_red"&gt;Ne pas inclure&lt;/span&gt; **les lieux de transfert** en cours de déplacement (arrêts de bus, gares, terminus, lieux de stationnement, etc.) sauf si {{nickname}} est all{{gender:é/ée/é(e)/é(e)}} reconduire ou chercher quelqu'un à cet endroit.</t>
  </si>
  <si>
    <t>Please specify the places {{nickname}} went on {{assignedDate}}
- &lt;span class="_green"&gt;include&lt;/span&gt; all places visited until 4 AM the following morning.
&lt;span class="_green"&gt;- **Include short stops and errands** (gas station, daycare/school, convenience store or any place where {{nickname}} picked someone up or dropped someone off).
- **Include all places** regardless of the mode of transport used to get there (walking, cycling, car, public transit, taxi, plane, boat, etc.).&lt;/span&gt;
&lt;span class="_red"&gt;- **Do not include transfer locations** (bus stops, train stations, terminals, parking lots, etc.) unless {{nickname}} went there to drop someone off or pick someone up.&lt;/span&gt;</t>
  </si>
  <si>
    <t>**Type(s) d’aide à la mobilité utilisé(s)** pour vos déplacements en dehors de la maison
__Facultatif__</t>
  </si>
  <si>
    <t>Êtez-vous admis{{gender:/e/.e}} au **transport adapté**? 
__STM, RTL, STL, exo, etc.
Facultatif__</t>
  </si>
  <si>
    <t>Au cours des 12 derniers mois, à quelle fréquence avez-vous utilisé utilisé le **transport adapté**?
__Facultatif__</t>
  </si>
  <si>
    <t>Nombre de jour(s) par semaine où vous travaillez
__Dans une semaine typique. Qu’il y ait déplacement ou non pour le travail.__</t>
  </si>
  <si>
    <t>Nombre de jour(s) par semaine où vous vous déplacez hors domicile pour le travail
__Dans une semaine typique. Indiquer 0 si vous n'avez n’a pas de lieu de travail ou travaille que depuis son domicile__</t>
  </si>
  <si>
    <t>Plus haut **niveau de scolarité**
__En cas de doute, sélectionnez le niveau de scolarité qui se rapproche le plus du parcours.__</t>
  </si>
  <si>
    <r>
      <t xml:space="preserve">Highest level of **educational attainment**
__If in doubt, select the education level that most closely matches </t>
    </r>
    <r>
      <rPr>
        <sz val="11"/>
        <color rgb="FFFF0000"/>
        <rFont val="Aptos Narrow"/>
        <family val="2"/>
        <scheme val="minor"/>
      </rPr>
      <t>your</t>
    </r>
    <r>
      <rPr>
        <sz val="11"/>
        <rFont val="Aptos Narrow"/>
        <family val="2"/>
        <scheme val="minor"/>
      </rPr>
      <t xml:space="preserve"> academic background.__</t>
    </r>
  </si>
  <si>
    <t>Est-ce que vous êtes retourn{{gender:é/ée/é(e)}} au domicile {{address}} la journée du {{assignedDate}}?</t>
  </si>
  <si>
    <t>D’autres membres du ménage étaient avec vous toute la journée?</t>
  </si>
  <si>
    <t>Avez-vous déjà localisé ce lieu?</t>
  </si>
  <si>
    <t>Did you previously locate this place on the map?</t>
  </si>
  <si>
    <t>Vous avez a commencé vos déplacements sur la route à :</t>
  </si>
  <si>
    <t>Vous avez terminé ses déplacement sur la route à :</t>
  </si>
  <si>
    <t>Quel moyen de transport utilisez-vous habituellement pour** se rendre à votre lieu de travail?** 
__Si plusieurs modes sont utilisés, indiquer le mode qui représente la plus grande partie de la distance parcourue.
Si vouz fréquentez plusieurs lieux, répondre en fonction du lieu le plus fréquemment visité.__</t>
  </si>
  <si>
    <t>Vous avez déclaré n'avoir fait **aucun déplacement pour les études** le {{assignedDate}}</t>
  </si>
  <si>
    <t>Vous avez déclaré n'avoir fait **aucun déplacement pour le travail** le {{assignedDate}}</t>
  </si>
  <si>
    <t>Did you  make at least one trip on {{assignedDate}} that you did not report?
__For example, a walk to the convenience store, going out for coffee or dinner with friends, or a health walk with the dog.
You will not need to go back and update anything. We just want to know how often trips are missed.
This question is only asked to one person in the household in order to improve our understanding of the limitations of the data.__</t>
  </si>
  <si>
    <t>Avez-vous effectué au moins un déplacement le {{assignedDate}} que vous n'auriez pas rapporté?
__Par exemple, une marche au dépanneur, un café ou un souper avec amis, ou une balade santé avec le chien.
Vous n’aurez pas à revenir en arrière. Nos voulons juste savoir à quelle fréquence des déplacements sont omis.
Cette question n’est posée qu’à une seule personne du ménage dans l’objectif d’améliorer notre compréhension des limites des données.__</t>
  </si>
  <si>
    <t>Oublis</t>
  </si>
  <si>
    <t>modeWorkOnTheRoad</t>
  </si>
  <si>
    <t>attitudinalOpinion</t>
  </si>
  <si>
    <t>attitudinalCar</t>
  </si>
  <si>
    <t>attitudinalTransitGoodQuality</t>
  </si>
  <si>
    <t>attitudinalFamiliarWithTransit</t>
  </si>
  <si>
    <t>attitudinalRequiereHightLevel</t>
  </si>
  <si>
    <t>attitudinalEasyWithoutCar</t>
  </si>
  <si>
    <t>attitudinalGoodAccessImportant</t>
  </si>
  <si>
    <t>genderCustom</t>
  </si>
  <si>
    <t>transitFareSpecify</t>
  </si>
  <si>
    <t>disabilitiesSpecify</t>
  </si>
  <si>
    <t>mobilityAssistiveDevicesSpecify</t>
  </si>
  <si>
    <t>transitAccessModeSpecify</t>
  </si>
  <si>
    <t>transitEgressModeSpecify</t>
  </si>
  <si>
    <t>taxi</t>
  </si>
  <si>
    <t>hasDrivingLicenseAndCarConditional</t>
  </si>
  <si>
    <t>modePre != transitBus</t>
  </si>
  <si>
    <t>station non-désservie par TAD</t>
  </si>
  <si>
    <t>sdrWithSecondaryHousesCustomConditional</t>
  </si>
  <si>
    <t>editPersonDidTripsCustomConditional</t>
  </si>
  <si>
    <t>shortcutConditional</t>
  </si>
  <si>
    <t>isCarPassengerConditional</t>
  </si>
  <si>
    <t>carPassengerConditional</t>
  </si>
  <si>
    <t>subwayConditional</t>
  </si>
  <si>
    <t>trainConditional</t>
  </si>
  <si>
    <t>remConditional</t>
  </si>
  <si>
    <t>busConditional</t>
  </si>
  <si>
    <t>subwayTransfertCustomConditional</t>
  </si>
  <si>
    <t>subwayLineConditional</t>
  </si>
  <si>
    <t>planeStationStartCustomConditional</t>
  </si>
  <si>
    <t>intercityRailStationStartCustomConditional</t>
  </si>
  <si>
    <t>intercityBusStationStartCustomConditional</t>
  </si>
  <si>
    <t>planeStationEndCustomConditional</t>
  </si>
  <si>
    <t>intercityBusStationEndCustomConditional</t>
  </si>
  <si>
    <t>hasStudingLocationCustomConditional</t>
  </si>
  <si>
    <t>si EP oubli de dép</t>
  </si>
  <si>
    <t>electricCarNumberConditional</t>
  </si>
  <si>
    <t>transitFareValidation</t>
  </si>
  <si>
    <t>disabilitiesValidation</t>
  </si>
  <si>
    <t>mobilityAssistiveDevicesValidation</t>
  </si>
  <si>
    <t>trainValidation</t>
  </si>
  <si>
    <t>subwayValidation</t>
  </si>
  <si>
    <t>busValidation</t>
  </si>
  <si>
    <t>transitSubway</t>
  </si>
  <si>
    <t>transitRail</t>
  </si>
  <si>
    <t>transitREM</t>
  </si>
  <si>
    <t>berriUqam</t>
  </si>
  <si>
    <t>lionelGroulx</t>
  </si>
  <si>
    <t>jeanDrapeau</t>
  </si>
  <si>
    <t>longueuilUniversiteDeSherbrooke</t>
  </si>
  <si>
    <t>Travail, Études ou Bénévolat</t>
  </si>
  <si>
    <t>Magasinage, services ou restauration</t>
  </si>
  <si>
    <t>Reconduire ou aller chercher quelqu’un</t>
  </si>
  <si>
    <t>Visite d’ami(s) ou famille</t>
  </si>
  <si>
    <t>Loisirs (promenade, sports, arts, tourisme, etc.)</t>
  </si>
  <si>
    <t>Santé (clinique, hôpital, vétérinaire, etc.)</t>
  </si>
  <si>
    <t>Autre motif</t>
  </si>
  <si>
    <t>work</t>
  </si>
  <si>
    <t>shopping</t>
  </si>
  <si>
    <t>pickupDropOff</t>
  </si>
  <si>
    <t>visitFriends</t>
  </si>
  <si>
    <t>leisure</t>
  </si>
  <si>
    <t>helth</t>
  </si>
  <si>
    <t>Auto conducteur </t>
  </si>
  <si>
    <t>Auto passager</t>
  </si>
  <si>
    <t>Autre mode</t>
  </si>
  <si>
    <t>**Pas du tout un frein** - Je n’ai pas évité le TC pour cette raison.</t>
  </si>
  <si>
    <t>**Frein léger** - Cette raison a un peu contribué à ce que je n’utilise pas le TC, sans changer mon choix.</t>
  </si>
  <si>
    <t>**Frein modéré** - Cette raison a compté dans ma décision d’éviter le TC, parmi d’autres facteurs.</t>
  </si>
  <si>
    <t>**Frein fort** - Cette raison m’a fortement conduit à éviter le TC.</t>
  </si>
  <si>
    <t>**Frein décisif** - J’ai évité le TC principalement pour cette raison.</t>
  </si>
  <si>
    <t>**Je ne sais pas** - Je ne peux pas dire si cette raison m’a amené à éviter le TC pour ce déplacement.</t>
  </si>
  <si>
    <t>Pas du tout d'accord</t>
  </si>
  <si>
    <t>Plutôt pas d'accord</t>
  </si>
  <si>
    <t>Ni d'accord ni pas d'accord</t>
  </si>
  <si>
    <t>Plutôt d'accord</t>
  </si>
  <si>
    <t>Tout à fait d'accord</t>
  </si>
  <si>
    <t>Jamais/Rarement</t>
  </si>
  <si>
    <t>1 à 3 jours/mois</t>
  </si>
  <si>
    <t>2 à 4 jours/sem.</t>
  </si>
  <si>
    <t>1 jour/sem.</t>
  </si>
  <si>
    <t>5+ jours/sem.</t>
  </si>
  <si>
    <t>neverOrRarely</t>
  </si>
  <si>
    <t>1dayPerWeek</t>
  </si>
  <si>
    <t>2to4daysPerWeek</t>
  </si>
  <si>
    <t>5DaysOrMorePerWeek</t>
  </si>
  <si>
    <t>**Stationnement(s) disponible(s) au domicile** pour {{household.carNumber:le/les}} véhicule{{household.carNumber:/s}} de votre ménage. 
__Vous pouvez laisser cette question vide si aucun choix ne s’applique à votre situation__</t>
  </si>
  <si>
    <t>Issue</t>
  </si>
  <si>
    <t>accessCode : help_popup · Issue #5 · chairemobilite/od_mtl</t>
  </si>
  <si>
    <t>home_isMain : sdrWithSecondaryHousesCustomConditional · Issue #6 · chairemobilite/od_mtl</t>
  </si>
  <si>
    <t>home_carParkingsAvailableVehicleHousehold : label · Issue #7 · chairemobilite/od_mtl</t>
  </si>
  <si>
    <t>home_geography : territoryValidation · Issue #8 · chairemobilite/od_mtl</t>
  </si>
  <si>
    <t>personNickname : uniqueNickname · Issue #9 · chairemobilite/od_mtl</t>
  </si>
  <si>
    <t>personTransitFare : transitFareValidation · Issue #10 · chairemobilite/od_mtl</t>
  </si>
  <si>
    <t>personDisabilities : disabilitiesValidation · Issue #11 · chairemobilite/od_mtl</t>
  </si>
  <si>
    <t>personMobilityAssistiveDevices : mobilityAssistiveDevicesValidation · Issue #12 · chairemobilite/od_mtl</t>
  </si>
  <si>
    <t>visitedPlaceActivity · Issue #13 · chairemobilite/od_mtl</t>
  </si>
  <si>
    <t>visitedPlaceAlreadyVisited : alreadyVisitedPlaceCustomConditional · Issue #14 · chairemobilite/od_mtl</t>
  </si>
  <si>
    <t>voir les exemples dans onglet Labels</t>
  </si>
  <si>
    <t>**Type of pass** used as a valid **monthly subscription** for the current month
__A, AB, ABC, and ABCD refer to ARTM fare zones.__</t>
  </si>
  <si>
    <t>**Permanent physical, intellectual or other disability** that affects or limits {{nickname}}’s daily travel?
__Ex: mobility-related, visual, other…__</t>
  </si>
  <si>
    <t>segmentMode · Issue #16 · chairemobilite/od_mtl</t>
  </si>
  <si>
    <t>segmentPaidForParking : isCarDriverAndDestinationCustomConditional · Issue #17 · chairemobilite/od_mtl</t>
  </si>
  <si>
    <t>Attente savoir si seulement auto-rep</t>
  </si>
  <si>
    <t>**Permanent physical, intellectual or other disability** which influences or limits your daily travel?</t>
  </si>
  <si>
    <r>
      <t xml:space="preserve">**Type(s) of mobility aid(s)**, </t>
    </r>
    <r>
      <rPr>
        <sz val="11"/>
        <color rgb="FFFF0000"/>
        <rFont val="Aptos Narrow"/>
        <family val="2"/>
        <scheme val="minor"/>
      </rPr>
      <t>if any</t>
    </r>
    <r>
      <rPr>
        <sz val="11"/>
        <rFont val="Aptos Narrow"/>
        <family val="2"/>
        <scheme val="minor"/>
      </rPr>
      <t>, used for your travel outside the home
__Optional__</t>
    </r>
  </si>
  <si>
    <t>Are you registered for **paratransit services?**
__STM, RTL, STL, exo, etc.
Optional__</t>
  </si>
  <si>
    <t>In the past 12 months, how often have you used **paratransit services?**
__Optional__</t>
  </si>
  <si>
    <t>Do you have a fixed **workplace**?</t>
  </si>
  <si>
    <t>Number of days per week you work
__In a typical week. Whether or not travel is required for work.__</t>
  </si>
  <si>
    <t>segmentTrainStationEnd : trainValidation · Issue #20 · chairemobilite/od_mtl</t>
  </si>
  <si>
    <t>In the past 12 months, how often have you used **public transit** (regular service)?
__Include metro, REM, commuter train, and buses (e.g., STM, STL, RTL, exo, etc.).
Optional__</t>
  </si>
  <si>
    <t>Number of days per week you travel outside the home for work
__In a typical week. Enter 0 if you do not have a workplace or you work exclusively from home.__</t>
  </si>
  <si>
    <t>You previously reported trips. Can you confirm they were reported by mistake and that {{nickname}} did not travel on {{formattedTripsDate}}?</t>
  </si>
  <si>
    <t>You previously reported trips. Do you confirm they were reported by mistake and that you did not travel on {{formattedTripsDate}}?</t>
  </si>
  <si>
    <t>Have you returned home at {{address}} on {{assignedDate}}?</t>
  </si>
  <si>
    <t>Were other household members with you all day?</t>
  </si>
  <si>
    <t>segmentIntercityRailStationEnd</t>
  </si>
  <si>
    <t>intercityRailStationEnd</t>
  </si>
  <si>
    <t>intercityRailStationEndCustomConditional</t>
  </si>
  <si>
    <t>subwayLineChoices</t>
  </si>
  <si>
    <t>driverCustomChoices</t>
  </si>
  <si>
    <t>subwayStationsCustomChoices</t>
  </si>
  <si>
    <t>subwayStationsTransfertCustomChoices</t>
  </si>
  <si>
    <t>stm_2</t>
  </si>
  <si>
    <t>stm_1</t>
  </si>
  <si>
    <t>2-Orange</t>
  </si>
  <si>
    <t>1-Verte</t>
  </si>
  <si>
    <t>À quelle heure êtes-vous arriv{{gender:é/ée/é(e)}} à {{onTheRoadDepartureType}} avant de débuter vos déplacements sur la route?</t>
  </si>
  <si>
    <t>trainStationsCustomChoices</t>
  </si>
  <si>
    <t>remStationsCustomChoices</t>
  </si>
  <si>
    <t>busLinesCustomChoices</t>
  </si>
  <si>
    <t>At what time did you arrive at {{onTheRoadDepartureType}} before starting your trips on the road?</t>
  </si>
  <si>
    <t>You started your trips on the road at:</t>
  </si>
  <si>
    <t>segmentRemStation : choix · Issue #23 · chairemobilite/od_mtl</t>
  </si>
  <si>
    <t>segmentTrainStation : choix · Issue #22 · chairemobilite/od_mtl</t>
  </si>
  <si>
    <t>Where did {{nickname}} end their trips on the road?</t>
  </si>
  <si>
    <t>segmentSubwayStation: choix · Issue #21 · chairemobilite/od_mtl</t>
  </si>
  <si>
    <t>Where did you end your trips on the road?</t>
  </si>
  <si>
    <t>You completed your trips on the road at:</t>
  </si>
  <si>
    <t>segmentTransitAccessMode : transitAccessCustomConditional · Issue #25 · chairemobilite/od_mtl</t>
  </si>
  <si>
    <t>Mode of transportion</t>
  </si>
  <si>
    <t>segmentPlaneStationStart : planeStationStartCustomConditional · Issue #26 · chairemobilite/od_mtl</t>
  </si>
  <si>
    <t>Please indicate all modes of transportion used for this trip (from {{originName}} to {{destinationName}}), in chronological order:</t>
  </si>
  <si>
    <t>Please specify the primary mode of transportation used for the trips on the road:</t>
  </si>
  <si>
    <t>segmentIntercityRailStationStart : intercityRailStationStartCustomConditional · Issue #27 · chairemobilite/od_mtl</t>
  </si>
  <si>
    <t>segmentIntercityBusStationStart : intercityBusStationStartCustomConditional · Issue #28 · chairemobilite/od_mtl</t>
  </si>
  <si>
    <t>What mode of transportion was used for the trips on the road?</t>
  </si>
  <si>
    <t>Please specify the primary mode of transportation used for the stroll:</t>
  </si>
  <si>
    <t>segmentIntercityAccessMode : intercityAccessCustomConditional · Issue #29 · chairemobilite/od_mtl</t>
  </si>
  <si>
    <t>What mode of transportion was used for the stroll?</t>
  </si>
  <si>
    <t>segmentPlaneStationEnd : planeStationEndCustomConditional · Issue #30 · chairemobilite/od_mtl</t>
  </si>
  <si>
    <t>segmentIntercityRailStationEnd : intercityRailStationEndCustomConditional · Issue #31 · chairemobilite/od_mtl</t>
  </si>
  <si>
    <t>segmentIntercityBusStationEnd : intercityBusStationEndCustomConditional · Issue #32 · chairemobilite/od_mtl</t>
  </si>
  <si>
    <t>**Transfer station(s)**:
__Choose ‘none’ if no transfer was made__</t>
  </si>
  <si>
    <t>**Line taken** between BerriUQAM and Lionel-Groulx</t>
  </si>
  <si>
    <t>segmentTransitEgressMode : transitEgressCustomConditional · Issue #33 · chairemobilite/od_mtl</t>
  </si>
  <si>
    <t>**Boarding station**(when entering the metro):</t>
  </si>
  <si>
    <t>segmentIntercityEgressMode : intercityEgressCustomConditional · Issue #34 · chairemobilite/od_mtl</t>
  </si>
  <si>
    <t>**Exit station** (when leaving the metro):</t>
  </si>
  <si>
    <t>**Boarding station** (when getting onto the train)</t>
  </si>
  <si>
    <t>**Exit station** (when leaving the train)</t>
  </si>
  <si>
    <t>**Boarding station** (when entering the REM)</t>
  </si>
  <si>
    <t>**Exit station** (when leaving the REM)</t>
  </si>
  <si>
    <t>tripJunctionPrivateBus : choix · Issue #36 · chairemobilite/od_mtl</t>
  </si>
  <si>
    <t>Mode of transportation to get from ${{vp_orig}} to the {{mode: **bus stop** / **metro station** / **REM station** /** train station**}}</t>
  </si>
  <si>
    <t>Departure airport</t>
  </si>
  <si>
    <t>tripJunctionPaidParking : junctionPaidParkingCustomConditional · Issue #37 · chairemobilite/od_mtl</t>
  </si>
  <si>
    <t>Adpater l'intutilé de la question aux modes utilisés</t>
  </si>
  <si>
    <t>Mode of transportation to get from ${{vp_orig}} to the {{mode: **airport **/ **train station** /** bus station**}}</t>
  </si>
  <si>
    <t>Arrival airport</t>
  </si>
  <si>
    <t>tripCommun</t>
  </si>
  <si>
    <t>{{nickname}} a-t-{{gender: il/elle/iel}} réalisé ce déplacement avec une autre personne du ménage?</t>
  </si>
  <si>
    <t>Avez-vous réalisé ce déplacement avec une autre personne du ménage?</t>
  </si>
  <si>
    <t>tripCommunCustomConditonal</t>
  </si>
  <si>
    <t>Other mode of transportation used for the trip before arrival?</t>
  </si>
  <si>
    <t>Mode of transportation to get from the {{mode: **bus stop** / **metro station** / **REM station** /** train station**}} to ${{vp_dest}}</t>
  </si>
  <si>
    <t>Mode of transportation to get from the {{mode: **airport **/ **train station** /**bus station**}} to ${{vp_dest}}</t>
  </si>
  <si>
    <t>**Boarding location** (getting on the bus)</t>
  </si>
  <si>
    <t>**Exit location** (getting off the bus)</t>
  </si>
  <si>
    <t>**Parking** upon arrival at the {{mode: train station / station / stop}}</t>
  </si>
  <si>
    <t>Did {{nickname}} make this trip with another member of the household?</t>
  </si>
  <si>
    <t>Did you make this trip with another member of the household?</t>
  </si>
  <si>
    <t>**You didn't report any work trips** on {{assignedDate}}</t>
  </si>
  <si>
    <t>**Name or address** of {{nickname}}'s **usual workplace**</t>
  </si>
  <si>
    <t>**Name or address** of your **usual workplace**</t>
  </si>
  <si>
    <t>Please locate the **usual workplace** for {{nickname}}
__Navigate, zoom, and click on the map to identify the location. Once located, you can move the marker for greater precision.
You can also search for the place on the map using the "Search location" button.__</t>
  </si>
  <si>
    <t>Please locate your **usual workplace**.
__Navigate, zoom, and click on the map to identify the location. Once located, you can move the marker for greater precision.
You can also search for the place on the map using the "Search location" button.__</t>
  </si>
  <si>
    <t>What mode of transportation do you usually use **to travel to your workplace?**
__If multiple modes are used, indicate the one that represents the largest share of distance traveled.
If you work at multiple locations, respond based on the location visited most frequently.__</t>
  </si>
  <si>
    <t>**You didn't report any study trips** on {{assignedDate}}</t>
  </si>
  <si>
    <t>The opinions of people who matter to me (family, friends, colleagues) influence my choice of transportation mode for my usual trips</t>
  </si>
  <si>
    <t>A personal car represents independence and autonomy for me.</t>
  </si>
  <si>
    <t>Overall, public transportation in the region where I live is useful and of good quality.</t>
  </si>
  <si>
    <t>I am familiar with the public transportation services that serve my home and my usual activity locations (lines, main stops, frequencies)</t>
  </si>
  <si>
    <t>My usual activities require a high level of mobility and flexibility (frequent trips, diverse destinations, variable schedules, etc.).</t>
  </si>
  <si>
    <t>It would be easy for me to make most of my trips without a personal car, using public transportation or active modes.</t>
  </si>
  <si>
    <t>When choosing where to live, having walking access (≈ 5–15 minutes) to a stop or station with frequent service during the times I travel is important to me.</t>
  </si>
  <si>
    <t>**Public transit frequency** (e.g., infrequent service, long waiting times)</t>
  </si>
  <si>
    <t>**Reliability** of public transit (e.g., unpredictable delays, cancellations, fear of missed connections)</t>
  </si>
  <si>
    <t>**Total travel time**, door-to-door (walking + waiting + in-vehicle time + transfers)</t>
  </si>
  <si>
    <t>**Number of transfers** required (changes of line or mode)</t>
  </si>
  <si>
    <t>**Walking time** to a stop or station (at departure or arrival)</t>
  </si>
  <si>
    <t>**Safety** (e.g., poor lighting in terminals and stations, lack of staff in the network, etc.)</t>
  </si>
  <si>
    <t>**Trip planning** (ease of finding information, accessible website, etc.)</t>
  </si>
  <si>
    <t>**Lack of accessibility** (elevators, ramps, reserved seating, benches, visual displays, audio information, etc.)</t>
  </si>
  <si>
    <t>**Lack of civility** (giving up one’s seat, removing one’s bag, people blocking access to a pole for support or standing in front of doors) and/or the presence of discriminatory attitudes (hostile stares)”</t>
  </si>
  <si>
    <t>Driver (personal vehicle)</t>
  </si>
  <si>
    <t>Driver (work or commercial vehicle)</t>
  </si>
  <si>
    <t>Passenger (in a personal, work, or commercial vehicle)</t>
  </si>
  <si>
    <t>Public transit (bus, metro, REM, commuter train, etc.)</t>
  </si>
  <si>
    <t>Bicycle or electric bicycle</t>
  </si>
  <si>
    <t>Other active modes (running, scooter, skateboard)</t>
  </si>
  <si>
    <t>Car as driver</t>
  </si>
  <si>
    <t>Car as passenger</t>
  </si>
  <si>
    <t>Public transit</t>
  </si>
  <si>
    <t>**No** (free or paid by employer)</t>
  </si>
  <si>
    <t>**No** (free)</t>
  </si>
  <si>
    <r>
      <t xml:space="preserve">**Yes** </t>
    </r>
    <r>
      <rPr>
        <sz val="11"/>
        <color rgb="FFFF0000"/>
        <rFont val="Aptos Narrow"/>
        <family val="2"/>
      </rPr>
      <t>(parking meter, sticker,</t>
    </r>
    <r>
      <rPr>
        <sz val="11"/>
        <color theme="1"/>
        <rFont val="Aptos Narrow"/>
        <family val="2"/>
        <charset val="1"/>
      </rPr>
      <t xml:space="preserve"> pass or permit)</t>
    </r>
  </si>
  <si>
    <t>The vehicle was not parked</t>
  </si>
  <si>
    <t>Montreal Pierre-Elliott-Trudeau International Airport (YUL)</t>
  </si>
  <si>
    <t>Gare Centrale (Montreal)</t>
  </si>
  <si>
    <t>Montreal Saint-Hubert Airport (YHU)</t>
  </si>
  <si>
    <t>Montreal Central Bus Station (1717 Berri Street)</t>
  </si>
  <si>
    <t>Megabus Terminal (1000 de la Gauchetière)</t>
  </si>
  <si>
    <t>Montreal Airport (YUL)</t>
  </si>
  <si>
    <t>Longueuil Intermodal Terminal</t>
  </si>
  <si>
    <t>On-demand transit</t>
  </si>
  <si>
    <t>Taxi or equivalent (e.g., Uber)</t>
  </si>
  <si>
    <t>Work, Studies or Volunteering</t>
  </si>
  <si>
    <t>Shopping, services or restaurants</t>
  </si>
  <si>
    <t>Dropping off or picking up someone</t>
  </si>
  <si>
    <t>Visiting friends or family</t>
  </si>
  <si>
    <t>Leisure (walking, sports, arts, tourism, etc.)</t>
  </si>
  <si>
    <t>Health (clinic, hospital, veterinary, etc.)</t>
  </si>
  <si>
    <t>Other reason</t>
  </si>
  <si>
    <t>Car driver</t>
  </si>
  <si>
    <t>Car passenger</t>
  </si>
  <si>
    <t>Never/Rarely</t>
  </si>
  <si>
    <t>1 to 3 days/month</t>
  </si>
  <si>
    <t>1 day/week</t>
  </si>
  <si>
    <t>2 to 4 days/week</t>
  </si>
  <si>
    <t>5+ days/week</t>
  </si>
  <si>
    <t>Strongly disagree</t>
  </si>
  <si>
    <t>Somewhat disagree</t>
  </si>
  <si>
    <t>Neither agree nor disagree</t>
  </si>
  <si>
    <t>Somewhat agree</t>
  </si>
  <si>
    <t>Strongly agree</t>
  </si>
  <si>
    <t>**Not a barrier at all** - I did not avoid public transit for this reason.</t>
  </si>
  <si>
    <t>**Minor barrier** - This reason slightly contributed to my not using public transit, without changing my choice.</t>
  </si>
  <si>
    <t>**Moderate barrier** - This reason played a role in my decision to avoid public transit, among other factors.</t>
  </si>
  <si>
    <t>**Strong barrier** - This reason strongly led me to avoid public transit.</t>
  </si>
  <si>
    <t>**Decisive barrier** - I avoided public transit mainly because of this reason.</t>
  </si>
  <si>
    <t>**Don't know** - I cannot say whether this reason led me to avoid public transit for this trip.</t>
  </si>
  <si>
    <t>Who should be included in this number?</t>
  </si>
  <si>
    <t>Which vehicles should be included in this number?</t>
  </si>
  <si>
    <t>**Who should be included in this number?**
&lt;span class="_green"&gt;Inclure :&lt;\span&gt;
- Yourself
- Children in shared custody if they were present at your home on &lt;span class="_green"&gt;{{assignedWeekday}}{{assignedDate}} ({{deltaDays}})&lt;/span&gt;
- Roommates and housemates, as well as all people living in a shared household community</t>
  </si>
  <si>
    <t>**Which vehicles should be included?**
&lt;span class="_green"&gt;Include:&lt;/span&gt;
- Cars, SUVs, light trucks, trucks, and vans
- Vehicles provided or leased by an employer that members of your household use for commuting or personal reasons
&lt;span class="_red"&gt;Do not include:&lt;/span&gt;
- Mopeds, scooters, and motorcycles (gas or electric)
- Car-sharing vehicles
- A vehicle parked at the workplace and used exclusively for work
- Stored or collector vehicles used rarely</t>
  </si>
  <si>
    <t>Why this question?</t>
  </si>
  <si>
    <t>**Which vehicles should be included?**
&lt;span class="_green"&gt;Include:&lt;/span&gt;
- Mopeds, scooters, and motorcycles (gas or electric)
&lt;span class="_red"&gt;Do not include:&lt;/span&gt;
- Cars, SUVs, light trucks, trucks, and vans
- Bicycles or electric bicycles
- Scooters or electric scooters</t>
  </si>
  <si>
    <t>**Why this question?**
We ask whether people have disabilities that limit their mobility in order to study the impacts on how they travel. In hindsight, this information will help us propose a more suitable transportation offer adapted to their needs.</t>
  </si>
  <si>
    <t>Who should be included?</t>
  </si>
  <si>
    <r>
      <t xml:space="preserve">**Who should be considered a student?**
&lt;span class="_green"&gt;Include:&lt;/span&gt;
- All students and </t>
    </r>
    <r>
      <rPr>
        <sz val="11"/>
        <color rgb="FFFF0000"/>
        <rFont val="Aptos Narrow"/>
        <family val="2"/>
      </rPr>
      <t>pupils</t>
    </r>
    <r>
      <rPr>
        <sz val="11"/>
        <color theme="1"/>
        <rFont val="Aptos Narrow"/>
        <family val="2"/>
        <charset val="1"/>
      </rPr>
      <t xml:space="preserve"> aged 15 and over, regardless of level of education
- Anyone taking regular courses through an educational institution
- Anyone currently in an internship, apprenticeship, or co-op program, but enrolled in an educational institution
&lt;span class="_red"&gt;Do not include:&lt;/span&gt;
- One-time or online training courses
- Private lessons, etc.</t>
    </r>
  </si>
  <si>
    <t>**Who should be considered a worker?**
&lt;span class="_green"&gt;Include:&lt;/span&gt;
- Anyone with a job or a business, even if temporarily absent at the time of responding (e.g., sick leave, parental leave, vacation, temporary layoff)
- Both salaried employees and self-employed workers
&lt;span class="_red"&gt;Do not include:&lt;/span&gt;
- People without a job and not looking for work</t>
  </si>
  <si>
    <t>Why this day?</t>
  </si>
  <si>
    <t>**Why this question?**
Inspired by Statistics Canada’s Census, this question allows for comparison of commuting modes across surveys.</t>
  </si>
  <si>
    <t>**Why this question?
The household income bracket helps us understand certain equity issues in mobility. It also helps identify whether our respondents are well represented.</t>
  </si>
  <si>
    <t>tripCommun : tripCommunCustomConditonal · Issue #38 · chairemobilite/od_mtl</t>
  </si>
  <si>
    <t>Where can I find my access code?</t>
  </si>
  <si>
    <t>Fare zones?</t>
  </si>
  <si>
    <t>Di you attend **a school or educational institution for studies?**
__Answer “No” only if yoou take courses exclusively online.__</t>
  </si>
  <si>
    <t>dépend si auto-rep ou pas</t>
  </si>
  <si>
    <t>Exit station (arrival)</t>
  </si>
  <si>
    <t>Boarding station (departure)</t>
  </si>
  <si>
    <t>Where did your begin your work trip on the road?</t>
  </si>
  <si>
    <t>Where did {{nickname}} begin their work trip on the road?</t>
  </si>
  <si>
    <t>Nous allons vous demander d'indiquer les **lieux où vous êtes all{{gender:é/ée/é(e)/é(e)}} le {{assignedDate}}**
- &lt;span class="_green"&gt;Inclure&lt;/span&gt; les lieux visités jusqu'à 4:00 le lendemain matin.
- &lt;span class="_green"&gt;Inclure&lt;/span&gt; les lieux visités jusqu'à 4:00 le lendemain matin.
- &lt;span class="_green"&gt;Inclure&lt;/span&gt; même **les petits arrêts** (station-service, garderie/école, dépanneur ou tout lieu où {{nickname}} est all{{gender:é/ée/é(e)/é(e)}} chercher ou reconduire quelqu'un).
- &lt;span class="_green"&gt;Inclure&lt;/span&gt; **tous les lieux peu importe les modes de transport utilisés** pour s'y rendre (marche, vélo, voiture, transport collectif, taxi, avion, bateau, etc.).
- &lt;span class="_red"&gt;Ne pas inclure&lt;/span&gt; **les lieux de transfert** en cours de déplacement (arrêts de bus, gares, terminus, lieux de stationnement, etc.) sauf si {{nickname}} est all{{gender:é/ée/é(e)/é(e)}} reconduire ou chercher quelqu'un à cet endroit.</t>
  </si>
  <si>
    <t>Please specify the **places you went on {{assignedDate}}**
- &lt;span class="_green"&gt;include&lt;/span&gt; all places visited until 4 AM the following morning.
&lt;span class="_green"&gt;- **Include short stops and errands** (gas station, daycare/school, convenience store or any place where you picked someone up or dropped someone off).
- **Include all places** regardless of the mode of transport used to get there (walking, cycling, car, public transit, taxi, plane, boat, etc.).&lt;/span&gt;
&lt;span class="_red"&gt;- **Do not include transfer locations** (bus stops, train stations, terminals, parking lots, etc.) unless you went there to drop someone off or pick someone up.&lt;/span&gt;</t>
  </si>
  <si>
    <t>RadioCustom</t>
  </si>
  <si>
    <r>
      <rPr>
        <b/>
        <sz val="11"/>
        <rFont val="Aptos Narrow"/>
        <family val="2"/>
        <scheme val="minor"/>
      </rPr>
      <t xml:space="preserve">Action selon réponse </t>
    </r>
    <r>
      <rPr>
        <sz val="11"/>
        <rFont val="Aptos Narrow"/>
        <family val="2"/>
        <scheme val="minor"/>
      </rPr>
      <t xml:space="preserve">
Si oui, passer à la section travelBehavior</t>
    </r>
  </si>
  <si>
    <r>
      <rPr>
        <b/>
        <sz val="11"/>
        <rFont val="Aptos Narrow"/>
        <family val="2"/>
        <scheme val="minor"/>
      </rPr>
      <t xml:space="preserve">Action selon réponse : </t>
    </r>
    <r>
      <rPr>
        <sz val="11"/>
        <rFont val="Aptos Narrow"/>
        <family val="2"/>
        <scheme val="minor"/>
      </rPr>
      <t xml:space="preserve">
Si non, terminer l'enquête</t>
    </r>
  </si>
  <si>
    <r>
      <rPr>
        <b/>
        <sz val="11"/>
        <rFont val="Aptos Narrow"/>
        <family val="2"/>
        <scheme val="minor"/>
      </rPr>
      <t>Action selon réponse :</t>
    </r>
    <r>
      <rPr>
        <sz val="11"/>
        <rFont val="Aptos Narrow"/>
        <family val="2"/>
        <scheme val="minor"/>
      </rPr>
      <t xml:space="preserve">
Pour les autres membres, passer à la section travelBehavior aussi</t>
    </r>
  </si>
  <si>
    <t>segmentSubwayStationsTransfert : subwayValidation · Issue #19 · chairemobilite/od_mtl
segmentSubwayStationsTransfert : subwayTransfertCustomConditional et choix custom · Issue #18 · chairemobilite/od_mtl</t>
  </si>
  <si>
    <t>ep_exclusif</t>
  </si>
  <si>
    <t>freqAttitudinal</t>
  </si>
  <si>
    <t>freqBrakes</t>
  </si>
  <si>
    <t>freqAttitudinalBrakes</t>
  </si>
  <si>
    <t>omission</t>
  </si>
  <si>
    <t>paidParking</t>
  </si>
  <si>
    <t>respect</t>
  </si>
  <si>
    <t>personNoWorkTrip : shouldAskForNoWorkTripReasonCustomConditional · Issue #39 · chairemobilite/od_mtl</t>
  </si>
  <si>
    <t>personUsualWorkPlaceIntro</t>
  </si>
  <si>
    <t>usualWorkPlaceIntro</t>
  </si>
  <si>
    <t>{{nickname}} n'a pas fait de déplacement vers son lieu de travail habituel. Pouvez-vous le localiser?</t>
  </si>
  <si>
    <t>Vous n'avez pas fait de déplacement vers votre lieu de travail habituel. Pouvez-vous le localiser?</t>
  </si>
  <si>
    <t>personUsualWorkPlace : hasWorkingLocationCustomConditional · Issue #40 · chairemobilite/od_mtl</t>
  </si>
  <si>
    <t>hasSchoolPlace</t>
  </si>
  <si>
    <t>personHasSchoolPlace</t>
  </si>
  <si>
    <t>usualSchoolPlaceNameConditional</t>
  </si>
  <si>
    <t>personNoSchoolTripReason</t>
  </si>
  <si>
    <t>omissions</t>
  </si>
  <si>
    <t>omittedTrips</t>
  </si>
  <si>
    <t>daycare</t>
  </si>
  <si>
    <t>mostMobilityAssistiveDeviceCustomConditional</t>
  </si>
  <si>
    <t>segmentBusLines : choix · Issue #24 · chairemobilite/od_mtl
segmentBusLines : busValidation · Issue #43 · chairemobilite/od_mtl</t>
  </si>
  <si>
    <t>CheckboxCustom</t>
  </si>
  <si>
    <t>personOutOfTerritory : implication · Issue #45 · chairemobilite/od_mtl</t>
  </si>
  <si>
    <t>segmentSameModeAsPreviousTrip : sameModeAsPreviousTripCustomConditional · Issue #15 · chairemobilite/od_mtl
segmentSameModeAsPreviousTrip : implication · Issue #43 · chairemobilite/od_mtl</t>
  </si>
  <si>
    <t>SelectCustom</t>
  </si>
  <si>
    <t>electricBicycleNumberCustomChoices</t>
  </si>
  <si>
    <t>household_electricBicycleNumber : electricBicycleNumberCustomChoices · Issue #47 · chairemobilite/od_mtl</t>
  </si>
  <si>
    <t>mostMobilityAssistiveDeviceCustomChoices</t>
  </si>
  <si>
    <t>personMostUsedMobilityAssistiveDevice : mostMobilityAssistiveDeviceCustomConditional · Issue #42 · chairemobilite/od_mtl
personMostUsedMobilityAssistiveDevice : mostMobilityAssistiveDeviceCustomChoices · Issue #48 · chairemobilite/od_mtl</t>
  </si>
  <si>
    <t>remoteWorkDaysCustomChoices</t>
  </si>
  <si>
    <t>personRemoteWorkDays : remoteWorkDaysCustomChoices · Issue #49 · chairemobilite/od_mtl</t>
  </si>
  <si>
    <t>whoAnswersCustomChoices</t>
  </si>
  <si>
    <t>outOfTerritoryMembersCustomChoices</t>
  </si>
  <si>
    <t>personOutOfTerritory : implication · Issue #45 · chairemobilite/od_mtl
personOutOfTerritoryMembers : outOfTerritoryMembersCustomChoices · Issue #51 · chairemobilite/od_mtl</t>
  </si>
  <si>
    <t>visitedPlaceShortcutCustomChoices</t>
  </si>
  <si>
    <t>visitedPlaceShortcut : visitedPlaceShortcutCustomChoices · Issue #52 · chairemobilite/od_mtl</t>
  </si>
  <si>
    <t>segmentDriver : driverCustomChoices · Issue #53 · chairemobilite/od_mtl</t>
  </si>
  <si>
    <t>tripCommunCustomChoices</t>
  </si>
  <si>
    <t>pluginHybridCarNumberCustomChoices</t>
  </si>
  <si>
    <t>electricCarNumberCustomChoices</t>
  </si>
  <si>
    <t>householdElectricCarNumber : electricCarNumberCustomChoices · Issue #55 · chairemobilite/od_mtl</t>
  </si>
  <si>
    <t>householdPluginHybridCarNumber : pluginHybridCarNumberCustomChoices · Issue #54 · chairemobilite/od_mtl</t>
  </si>
  <si>
    <t>if2OrMorePersons5OrMoreYearsOldCustomConditional</t>
  </si>
  <si>
    <t>if2OrMorePersons14OrMoreYearsOldCustomConditional</t>
  </si>
  <si>
    <t>personWhoWillAnswerForThisPerson : whoAnswersCustomChoices · Issue #50 · chairemobilite/od_mtl
personWhoWillAnswerForThisPerson : if14OrMorePersons5OrMoreYearsOldCustomConditional · Issue #57 · chairemobilite/od_mtl</t>
  </si>
  <si>
    <t>personDidTripsConfirmChoice</t>
  </si>
  <si>
    <t>StringCustom</t>
  </si>
  <si>
    <t>Map</t>
  </si>
  <si>
    <t>ConfirmButton</t>
  </si>
  <si>
    <t>onTheRoadPreviousArrivalTime</t>
  </si>
  <si>
    <t>onTheRoadDepartureTime</t>
  </si>
  <si>
    <t>Voir pour le label qui récupère le mode précédent</t>
  </si>
  <si>
    <t>**Mode** pour se rendre de ${{vp_orig}} à {{mode: l’**arrêt de bus**/la **station de métro**/la **station de REM**/la **gare de train**}}</t>
  </si>
  <si>
    <t>**Mode** pour se rendre de ${{vp_orig}} à {{mode: l’**aéroport**/la **gare**/la **gare d’autobus**}}</t>
  </si>
  <si>
    <t>**Mode** pour se rendre de {{mode: l’**arrêt de bus**/la **station de métro**/la **station de REM**/la **gare de train**}} à ${{vp_dest}}</t>
  </si>
  <si>
    <t>**Mode** pour se rendre de {{mode: l’**aéroport**/la **gare**/la **gare d’autobus**}} à ${{vp_dest}}</t>
  </si>
  <si>
    <t>?</t>
  </si>
  <si>
    <t>Raison pour laquelle {{nickname}} n’a pas effectué de déplacement pour les études le {{asignedDate}}?</t>
  </si>
  <si>
    <t>Motifs:</t>
  </si>
  <si>
    <t>Modes:</t>
  </si>
  <si>
    <t>Adapter la phrase selon le nombre d'enfants
Liste des membres du ménage + "une autre personne"</t>
  </si>
  <si>
    <t>personJobType</t>
  </si>
  <si>
    <t>previousDepartureTime</t>
  </si>
  <si>
    <t>À quelle heure {{nickname}} a-t-{{gender :il/elle/iel/il(-elle)}} quitté le lieu précédent ({{visitedPlaceDescription}}) avant de se rendre à cet endroit ({{atPlace}})?</t>
  </si>
  <si>
    <t>En fait pas forcement besoin de poser je pense</t>
  </si>
  <si>
    <t>timeCustomChoices</t>
  </si>
  <si>
    <t>Custom pour domicile</t>
  </si>
  <si>
    <t>visitedPlaceStrollDepartureTime</t>
  </si>
  <si>
    <t>visitedPlaceStrollArrivalTime</t>
  </si>
  <si>
    <t>strollDepartureTime</t>
  </si>
  <si>
    <t>strollArrivalTime</t>
  </si>
  <si>
    <t>{{nickname}} a commencé sa promenade à :</t>
  </si>
  <si>
    <t>{{nickname}} a terminé sa promenade à :</t>
  </si>
  <si>
    <t>visitedPlaceNextPlaceCategoryChoices</t>
  </si>
  <si>
    <t>stayedHomeUntilTheNextDay</t>
  </si>
  <si>
    <t>visitedAnotherPlace</t>
  </si>
  <si>
    <t>wentBackHome</t>
  </si>
  <si>
    <t>placeIsHome</t>
  </si>
  <si>
    <t>placeIsNotHome</t>
  </si>
  <si>
    <t>All{{gender:é/ée/é(e)/é(e)}} à un autre endroit</t>
  </si>
  <si>
    <t>Went elsewhere</t>
  </si>
  <si>
    <t>onTheRoadDepartureTypeChoices</t>
  </si>
  <si>
    <t>Personne(s) dans le véhicule
__Inclure le ou la conducteur.trice et toute autre personne, qu’elle fasse partie ou non de votre ménage, peu importe leur âge (enfants inclus).__</t>
  </si>
  <si>
    <t>Persons in the vehicle
__Include the driver and any other person, whether or not they are part of your household, regardless of their age (including children).__</t>
  </si>
  <si>
    <t>{{nickname}} has not traveled to {{gender: his/her/their/their}} usual workplace. Can you locate it?</t>
  </si>
  <si>
    <t>toddlerDaycarHelpPopup</t>
  </si>
  <si>
    <t xml:space="preserve">**Pourquoi cette question?**
Cette question est posée quand aucun déplacement pour motif « Reconduire » ou « Aller chercher » est enregistré à proximité d’une maternelle, garderie ou CPE répertoriée. </t>
  </si>
  <si>
    <t>anyTripModeFrequenciesCustomConditional</t>
  </si>
  <si>
    <t>attitudinalCustomConditional</t>
  </si>
  <si>
    <t>anyTripModeFrequenciesCarDriverCustomConditional</t>
  </si>
  <si>
    <t>Question dépend du mode utilisé</t>
  </si>
  <si>
    <t>barriers</t>
  </si>
  <si>
    <t>barriersFrequency</t>
  </si>
  <si>
    <t>barriersReliability</t>
  </si>
  <si>
    <t>barriersWalk</t>
  </si>
  <si>
    <t>barriersTime</t>
  </si>
  <si>
    <t>barriersTransfer</t>
  </si>
  <si>
    <t>barriersSecurity</t>
  </si>
  <si>
    <t>barriersPlanning</t>
  </si>
  <si>
    <t>barriersIntro</t>
  </si>
  <si>
    <t>barriersDisabilityIntro</t>
  </si>
  <si>
    <t>barriersDisability</t>
  </si>
  <si>
    <t>barriersDisabilityFrequency</t>
  </si>
  <si>
    <t>barriersDisabilitReliability</t>
  </si>
  <si>
    <t>barriersDisabilityWalk</t>
  </si>
  <si>
    <t>barriersDisabilityTime</t>
  </si>
  <si>
    <t>barriersDisabilityTransfer</t>
  </si>
  <si>
    <t>barriersDisabilitySecurity</t>
  </si>
  <si>
    <t>barriersDisabilityUniversalAccessibility</t>
  </si>
  <si>
    <t>barriersDisabilityPlanning</t>
  </si>
  <si>
    <t>barriersDisabilityCourtesy</t>
  </si>
  <si>
    <t>barriersCustomConditional</t>
  </si>
  <si>
    <t>householdOwnershipHelpPopup</t>
  </si>
  <si>
    <t>**Pourquoi cette question?**
Le statut d’occupation du logement (locataire ou propriétaire) est associé à des comportements de mobilité différents. Cette information nous permet de mieux interpréter les résultats de l’enquête et de nous assurer que les données recueillies sont représentatives de l’ensemble des ménages de la région.</t>
  </si>
  <si>
    <t>o_</t>
  </si>
  <si>
    <t>Barriers</t>
  </si>
  <si>
    <t>Afficher "ne pas inclure bus scolaire" pour les moins de 16 ans ou les 16, 17 ans étudiants</t>
  </si>
  <si>
    <t>Raison pour laquelle vous n'avez pas effectué de déplacement pour les études le {{asignedDate}}?</t>
  </si>
  <si>
    <t>Reason you did not travel for your studies on {{assignedDate}}</t>
  </si>
  <si>
    <t>Reason {{nickname}} did not travel for {{gender: his/her/their/their}} studies on {{assignedDate}}</t>
  </si>
  <si>
    <t>You have not traveled to your usual workplace. Can you locate it?</t>
  </si>
  <si>
    <t>Même mode que le déplacement précédent ({{trip.modePre}})</t>
  </si>
  <si>
    <t>Same mode as the previous trip ({{trip.modePre}})</t>
  </si>
  <si>
    <t>label_phone_one::en</t>
  </si>
  <si>
    <t>workOnTheRoadArrivalTimeConditional</t>
  </si>
  <si>
    <t>after4am</t>
  </si>
  <si>
    <t>Le {{home.address}}, {{home.city}} est-elle la **résidence principale** de votre ménage? 
__La résidence principale est le logement où votre ménage vit la majorité du temps (au moins 50 %)__</t>
  </si>
  <si>
    <t>est-ce que la condition est déjà créée dans Evolution? 
Je ne comprends pas quelles devraient être les règles d'affichage</t>
  </si>
  <si>
    <t>Checkbox avec Choix : Liste des membres du ménage
Est-ce que toute la liste ou seulement personnes mobiles??</t>
  </si>
  <si>
    <t>Est-ce que vous vous rendez dans un **établissement scolaire** pour étudier?
__Répondre ‘Non’ seulement si vous n’effectuez que des cours à distance.__</t>
  </si>
  <si>
    <t xml:space="preserve">Est-ce qu’au moins un de vos enfants ont fréquenté un lieu de garde (garderie ou CPE) le {{assignedDate}}? </t>
  </si>
  <si>
    <t>**Quels véhicules inclure?**
&lt;span class="_green"&gt;Inclure :&lt;\span&gt; 
- Les automobiles, VUS, camions légers, camions et fourgonnettes
- Les véhicules fournis ou loués par un employeur que les membres de votre ménage utilisent pour aller au travail ou pour des raisons personnelles
&lt;span class="_red"&gt;Ne pas inclure :&lt;\span&gt; 
- Les mobylettes, scooters et motos (à essence ou électriques)
- Les véhicules d’autopartage
- Un véhicule stationné au lieu de travail utilisé exclusivement pour le travail
- Les véhicules remisés ou de collection utilisés rarement</t>
  </si>
  <si>
    <t>Taxi ou équivalent (ex. : Uber)</t>
  </si>
  <si>
    <t>**Autopartage** (ex. : Communauto, Léo) : utilisation comme conducteur(-rice) dans les 6 derniers mois
__Par au moins une personne du ménage__</t>
  </si>
  <si>
    <t>Oui, travail sur la route avec départ d'un lieu fixe (ex. : garage, bureau, poste, restaurant, etc.)</t>
  </si>
  <si>
    <t>Oui, {{nickname}} travaillait sur la route avec départ d'un lieu fixe (ex. : garage, bureau, poste, restaurant, etc.)</t>
  </si>
  <si>
    <t>Oui, je travaillais sur la route avec départ d'un lieu fixe (ex. : garage, bureau, poste, restaurant, etc.)</t>
  </si>
  <si>
    <t>Chauffeur Covoiturage (ex. : Amigo Express, Kangaride)</t>
  </si>
  <si>
    <t>**Carshare** (ex. : Communauto, Leo): used as driver in the past 6 months
 __by at least one household member__</t>
  </si>
  <si>
    <t>**Nom ou surnom** pour identifier cette personne pour la suite de l'entrevue
__Peut être un surnom, des initiales, ou encore ce que cette personne est pour vous (ex. : 'Moi', 'Toto', 'Maman', 'PN').
Ce nom est seulement utilisé pour faciliter l'enquête et sera ensuite supprimé.__</t>
  </si>
  <si>
    <t>**Incapacité permanente d'ordre physique, intellectuelle ou autre** qui influence ou limite les déplacements quotidiens de {{nickname}}?
__Ex. : motrice, visuelle, autre, etc.__</t>
  </si>
  <si>
    <t>Nom ou adresse du lieu (ex. : {})</t>
  </si>
  <si>
    <t>Est-ce que {{nickname}} a **commencé sa journée au domicile** ({{address}})?
__Répondre 'Non' uniquement si {{nickname}} n'a pas dormi au domicile (nuit du {{dayOne}} au {{dayTwo}}), ou y est rentré{{gender:/e/(e)/(e)}} après 4h du matin (par ex. : travail de nuit).__</t>
  </si>
  <si>
    <t>Avez-vous **commencé votre journée au domicile** ({{address}})?
__Répondre 'Non' uniquement si vous n'avez pas dormi au domicile (nuit du {{dayOne}} au {{dayTwo}}), ou y êtes rentré{{gender:/e/(e)/(e)}} après 4h du matin (par ex. : travail de nuit).__</t>
  </si>
  <si>
    <t>La **fréquence de passage** du transport en commun ou TC (ex. : passages espacés, longue attente)</t>
  </si>
  <si>
    <t>La **fiabilité** du transport en commun (ex. : retards imprévisibles, annulations, crainte de correspondances manquées)</t>
  </si>
  <si>
    <t>La **fiabilité du transport en commun** (ex. : retards imprévisibles, annulations, crainte de correspondances manquées)</t>
  </si>
  <si>
    <t>**Transports en commun** : utilisation dans les 30 derniers jours
__Inclure métro, REM, train de banlieue, les autobus (ex. : STM, STL, RTL, exo …)__</t>
  </si>
  <si>
    <t>Au cours des 12 derniers mois, à quelle fréquence {{nickname}} a-t-{{gender:il/elle/iel}} utilisé les **transport en commun** (service régulier)?
__Inclure métro, REM, train de banlieue, les autobus (ex. : STM, STL, RTL, exo …)
Facultatif__</t>
  </si>
  <si>
    <t>Au cours des 12 derniers mois, à quelle fréquence avez-vous utilisé les **transport en commun** (service régulier)?
__Inclure métro, REM, train de banlieue, les autobus (ex. : STM, STL, RTL, exo …)
Facultatif__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</si>
</sst>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VRAI&quot;;&quot;VRAI&quot;;&quot;FAUX&quot;"/>
  </numFmts>
  <fonts count="26" x14ac:knownFonts="1">
    <font>
      <sz val="11"/>
      <color theme="1"/>
      <name val="Aptos Narrow"/>
      <family val="2"/>
      <charset val="1"/>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b/>
      <sz val="11"/>
      <color theme="1"/>
      <name val="Aptos Narrow"/>
      <family val="2"/>
      <charset val="1"/>
    </font>
    <font>
      <b/>
      <sz val="11"/>
      <color theme="1"/>
      <name val="Calibri"/>
      <family val="2"/>
      <charset val="1"/>
    </font>
    <font>
      <b/>
      <sz val="11"/>
      <color rgb="FF000000"/>
      <name val="Calibri"/>
      <family val="2"/>
      <charset val="1"/>
    </font>
    <font>
      <sz val="11"/>
      <color rgb="FF000000"/>
      <name val="Calibri"/>
      <family val="2"/>
    </font>
    <font>
      <b/>
      <sz val="11"/>
      <color theme="1"/>
      <name val="Aptos Narrow"/>
      <family val="2"/>
      <scheme val="minor"/>
    </font>
    <font>
      <sz val="11"/>
      <color theme="1"/>
      <name val="Calibri"/>
      <family val="2"/>
    </font>
    <font>
      <b/>
      <sz val="11"/>
      <name val="Aptos Narrow"/>
      <family val="2"/>
      <scheme val="minor"/>
    </font>
    <font>
      <sz val="11"/>
      <name val="Aptos Narrow"/>
      <family val="2"/>
      <scheme val="minor"/>
    </font>
    <font>
      <b/>
      <sz val="11"/>
      <color theme="1"/>
      <name val="Aptos Narrow"/>
      <family val="2"/>
    </font>
    <font>
      <i/>
      <sz val="11"/>
      <color theme="1"/>
      <name val="Aptos Narrow"/>
      <family val="2"/>
    </font>
    <font>
      <sz val="11"/>
      <color rgb="FFFF0000"/>
      <name val="Aptos Narrow"/>
      <family val="2"/>
      <scheme val="minor"/>
    </font>
    <font>
      <i/>
      <sz val="11"/>
      <name val="Aptos Narrow"/>
      <family val="2"/>
    </font>
    <font>
      <u/>
      <sz val="11"/>
      <color theme="10"/>
      <name val="Aptos Narrow"/>
      <family val="2"/>
      <charset val="1"/>
    </font>
    <font>
      <sz val="11"/>
      <color rgb="FFFF0000"/>
      <name val="Aptos Narrow"/>
      <family val="2"/>
    </font>
  </fonts>
  <fills count="8">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theme="9"/>
        <bgColor indexed="64"/>
      </patternFill>
    </fill>
    <fill>
      <patternFill patternType="solid">
        <fgColor theme="3" tint="0.89999084444715716"/>
        <bgColor indexed="64"/>
      </patternFill>
    </fill>
    <fill>
      <patternFill patternType="solid">
        <fgColor theme="7"/>
        <bgColor indexed="64"/>
      </patternFill>
    </fill>
  </fills>
  <borders count="1">
    <border>
      <left/>
      <right/>
      <top/>
      <bottom/>
      <diagonal/>
    </border>
  </borders>
  <cellStyleXfs count="2">
    <xf numFmtId="0" fontId="0" fillId="0" borderId="0"/>
    <xf numFmtId="0" fontId="24" fillId="0" borderId="0" applyNumberFormat="0" applyFill="0" applyBorder="0" applyAlignment="0" applyProtection="0"/>
  </cellStyleXfs>
  <cellXfs count="80">
    <xf numFmtId="0" fontId="0" fillId="0" borderId="0" xfId="0"/>
    <xf numFmtId="0" fontId="0" fillId="0" borderId="0" xfId="0" applyAlignment="1">
      <alignment horizontal="left" vertical="top" wrapText="1"/>
    </xf>
    <xf numFmtId="0" fontId="0" fillId="0" borderId="0" xfId="0" applyAlignment="1">
      <alignment wrapText="1"/>
    </xf>
    <xf numFmtId="49" fontId="0" fillId="0" borderId="0" xfId="0" applyNumberFormat="1" applyAlignment="1">
      <alignment wrapText="1"/>
    </xf>
    <xf numFmtId="0" fontId="0" fillId="0" borderId="0" xfId="0" applyAlignment="1">
      <alignment vertical="top" wrapText="1"/>
    </xf>
    <xf numFmtId="0" fontId="0" fillId="0" borderId="0" xfId="0" applyAlignment="1">
      <alignment horizontal="left"/>
    </xf>
    <xf numFmtId="0" fontId="14" fillId="0" borderId="0" xfId="0" applyFont="1" applyAlignment="1">
      <alignment horizontal="left" vertical="top" wrapText="1"/>
    </xf>
    <xf numFmtId="0" fontId="13" fillId="0" borderId="0" xfId="0" applyFont="1" applyAlignment="1">
      <alignment horizontal="left" vertical="top" wrapText="1"/>
    </xf>
    <xf numFmtId="0" fontId="15" fillId="0" borderId="0" xfId="0" applyFont="1"/>
    <xf numFmtId="0" fontId="13" fillId="0" borderId="0" xfId="0" applyFont="1" applyAlignment="1">
      <alignment horizontal="left" vertical="top"/>
    </xf>
    <xf numFmtId="0" fontId="12" fillId="0" borderId="0" xfId="0" applyFont="1" applyAlignment="1">
      <alignment horizontal="left" vertical="top"/>
    </xf>
    <xf numFmtId="0" fontId="0" fillId="0" borderId="0" xfId="0" applyAlignment="1">
      <alignment horizontal="left" vertical="top"/>
    </xf>
    <xf numFmtId="0" fontId="17" fillId="0" borderId="0" xfId="0" applyFont="1" applyAlignment="1">
      <alignment horizontal="left" vertical="top"/>
    </xf>
    <xf numFmtId="0" fontId="16" fillId="0" borderId="0" xfId="0" applyFont="1" applyAlignment="1">
      <alignment horizontal="left" vertical="top" wrapText="1"/>
    </xf>
    <xf numFmtId="0" fontId="11" fillId="0" borderId="0" xfId="0" applyFont="1" applyAlignment="1">
      <alignment horizontal="left" vertical="top" wrapText="1"/>
    </xf>
    <xf numFmtId="0" fontId="16" fillId="0" borderId="0" xfId="0" applyFont="1" applyAlignment="1">
      <alignment horizontal="center" vertical="top" wrapText="1"/>
    </xf>
    <xf numFmtId="0" fontId="11" fillId="0" borderId="0" xfId="0" applyFont="1" applyAlignment="1">
      <alignment wrapText="1"/>
    </xf>
    <xf numFmtId="0" fontId="16" fillId="0" borderId="0" xfId="0" applyFont="1" applyAlignment="1">
      <alignment vertical="top" wrapText="1"/>
    </xf>
    <xf numFmtId="49" fontId="16" fillId="0" borderId="0" xfId="0" applyNumberFormat="1" applyFont="1" applyAlignment="1">
      <alignment vertical="top" wrapText="1"/>
    </xf>
    <xf numFmtId="49" fontId="11" fillId="0" borderId="0" xfId="0" applyNumberFormat="1" applyFont="1" applyAlignment="1">
      <alignment horizontal="left" vertical="top" wrapText="1"/>
    </xf>
    <xf numFmtId="0" fontId="18" fillId="0" borderId="0" xfId="0" applyFont="1" applyAlignment="1">
      <alignment horizontal="left" vertical="top" wrapText="1"/>
    </xf>
    <xf numFmtId="0" fontId="19" fillId="0" borderId="0" xfId="0" applyFont="1" applyAlignment="1">
      <alignment horizontal="left" vertical="top" wrapText="1"/>
    </xf>
    <xf numFmtId="0" fontId="19" fillId="0" borderId="0" xfId="0" applyFont="1"/>
    <xf numFmtId="0" fontId="19" fillId="0" borderId="0" xfId="0" applyFont="1" applyAlignment="1">
      <alignment horizontal="left" vertical="top"/>
    </xf>
    <xf numFmtId="164" fontId="19" fillId="0" borderId="0" xfId="0" applyNumberFormat="1" applyFont="1" applyAlignment="1">
      <alignment horizontal="left" vertical="top" wrapText="1"/>
    </xf>
    <xf numFmtId="0" fontId="20" fillId="0" borderId="0" xfId="0" applyFont="1" applyAlignment="1">
      <alignment vertical="top" wrapText="1"/>
    </xf>
    <xf numFmtId="0" fontId="20" fillId="0" borderId="0" xfId="0" applyFont="1"/>
    <xf numFmtId="0" fontId="10" fillId="0" borderId="0" xfId="0" applyFont="1" applyAlignment="1">
      <alignment horizontal="left" vertical="top" wrapText="1"/>
    </xf>
    <xf numFmtId="49" fontId="10" fillId="0" borderId="0" xfId="0" applyNumberFormat="1" applyFont="1" applyAlignment="1">
      <alignment horizontal="left" vertical="top" wrapText="1"/>
    </xf>
    <xf numFmtId="0" fontId="9" fillId="0" borderId="0" xfId="0" applyFont="1" applyAlignment="1">
      <alignment horizontal="left" vertical="top" wrapText="1"/>
    </xf>
    <xf numFmtId="49" fontId="9" fillId="0" borderId="0" xfId="0" applyNumberFormat="1" applyFont="1" applyAlignment="1">
      <alignment horizontal="left" vertical="top" wrapText="1"/>
    </xf>
    <xf numFmtId="0" fontId="9" fillId="0" borderId="0" xfId="0" applyFont="1"/>
    <xf numFmtId="0" fontId="9" fillId="0" borderId="0" xfId="0" applyFont="1" applyAlignment="1">
      <alignment horizontal="left" vertical="top"/>
    </xf>
    <xf numFmtId="0" fontId="0" fillId="0" borderId="0" xfId="0" applyAlignment="1">
      <alignment horizontal="left" wrapText="1"/>
    </xf>
    <xf numFmtId="0" fontId="21" fillId="0" borderId="0" xfId="0" applyFont="1" applyAlignment="1">
      <alignment horizontal="left" vertical="top" wrapText="1"/>
    </xf>
    <xf numFmtId="0" fontId="0" fillId="0" borderId="0" xfId="0" applyAlignment="1">
      <alignment vertical="top"/>
    </xf>
    <xf numFmtId="0" fontId="21" fillId="0" borderId="0" xfId="0" applyFont="1" applyAlignment="1">
      <alignment wrapText="1"/>
    </xf>
    <xf numFmtId="0" fontId="0" fillId="0" borderId="0" xfId="0" quotePrefix="1" applyAlignment="1">
      <alignment horizontal="left"/>
    </xf>
    <xf numFmtId="0" fontId="22" fillId="0" borderId="0" xfId="0" applyFont="1" applyAlignment="1">
      <alignment horizontal="left" vertical="top" wrapText="1"/>
    </xf>
    <xf numFmtId="0" fontId="0" fillId="2" borderId="0" xfId="0" applyFill="1" applyAlignment="1">
      <alignment wrapText="1"/>
    </xf>
    <xf numFmtId="49" fontId="0" fillId="2" borderId="0" xfId="0" applyNumberFormat="1" applyFill="1" applyAlignment="1">
      <alignment wrapText="1"/>
    </xf>
    <xf numFmtId="0" fontId="0" fillId="2" borderId="0" xfId="0" applyFill="1" applyAlignment="1">
      <alignment horizontal="left" wrapText="1"/>
    </xf>
    <xf numFmtId="0" fontId="19" fillId="2" borderId="0" xfId="0" applyFont="1" applyFill="1" applyAlignment="1">
      <alignment horizontal="left" vertical="top" wrapText="1"/>
    </xf>
    <xf numFmtId="0" fontId="8" fillId="0" borderId="0" xfId="0" applyFont="1" applyAlignment="1">
      <alignment horizontal="left" vertical="top" wrapText="1"/>
    </xf>
    <xf numFmtId="0" fontId="0" fillId="3" borderId="0" xfId="0" applyFill="1" applyAlignment="1">
      <alignment wrapText="1"/>
    </xf>
    <xf numFmtId="0" fontId="19" fillId="4" borderId="0" xfId="0" applyFont="1" applyFill="1" applyAlignment="1">
      <alignment horizontal="left" vertical="top" wrapText="1"/>
    </xf>
    <xf numFmtId="0" fontId="9" fillId="5" borderId="0" xfId="0" applyFont="1" applyFill="1" applyAlignment="1">
      <alignment horizontal="left" vertical="top" wrapText="1"/>
    </xf>
    <xf numFmtId="0" fontId="19" fillId="6" borderId="0" xfId="0" applyFont="1" applyFill="1" applyAlignment="1">
      <alignment horizontal="left" vertical="top" wrapText="1"/>
    </xf>
    <xf numFmtId="164" fontId="19" fillId="6" borderId="0" xfId="0" applyNumberFormat="1" applyFont="1" applyFill="1" applyAlignment="1">
      <alignment horizontal="left" vertical="top" wrapText="1"/>
    </xf>
    <xf numFmtId="0" fontId="19" fillId="6" borderId="0" xfId="0" applyFont="1" applyFill="1" applyAlignment="1">
      <alignment horizontal="left" vertical="top" wrapText="1" readingOrder="1"/>
    </xf>
    <xf numFmtId="0" fontId="19" fillId="6" borderId="0" xfId="0" applyFont="1" applyFill="1" applyAlignment="1">
      <alignment horizontal="left" vertical="top"/>
    </xf>
    <xf numFmtId="0" fontId="8" fillId="0" borderId="0" xfId="0" applyFont="1" applyAlignment="1">
      <alignment wrapText="1"/>
    </xf>
    <xf numFmtId="0" fontId="23" fillId="3" borderId="0" xfId="0" applyFont="1" applyFill="1" applyAlignment="1">
      <alignment horizontal="left"/>
    </xf>
    <xf numFmtId="0" fontId="21" fillId="3" borderId="0" xfId="0" applyFont="1" applyFill="1" applyAlignment="1">
      <alignment horizontal="left"/>
    </xf>
    <xf numFmtId="0" fontId="7" fillId="0" borderId="0" xfId="0" applyFont="1" applyAlignment="1">
      <alignment horizontal="left" vertical="top" wrapText="1"/>
    </xf>
    <xf numFmtId="0" fontId="19" fillId="0" borderId="0" xfId="0" applyFont="1" applyAlignment="1">
      <alignment wrapText="1"/>
    </xf>
    <xf numFmtId="0" fontId="16" fillId="0" borderId="0" xfId="0" applyFont="1" applyAlignment="1">
      <alignment horizontal="left" vertical="top"/>
    </xf>
    <xf numFmtId="0" fontId="22" fillId="0" borderId="0" xfId="0" applyFont="1" applyAlignment="1">
      <alignment horizontal="left" vertical="top"/>
    </xf>
    <xf numFmtId="0" fontId="6" fillId="0" borderId="0" xfId="0" applyFont="1" applyAlignment="1">
      <alignment horizontal="left" vertical="top" wrapText="1"/>
    </xf>
    <xf numFmtId="0" fontId="19" fillId="3" borderId="0" xfId="0" applyFont="1" applyFill="1" applyAlignment="1">
      <alignment horizontal="left" vertical="top" wrapText="1"/>
    </xf>
    <xf numFmtId="0" fontId="20" fillId="0" borderId="0" xfId="0" applyFont="1" applyAlignment="1">
      <alignment horizontal="left" vertical="top"/>
    </xf>
    <xf numFmtId="0" fontId="24" fillId="0" borderId="0" xfId="1" applyAlignment="1">
      <alignment vertical="top"/>
    </xf>
    <xf numFmtId="0" fontId="19" fillId="0" borderId="0" xfId="0" applyFont="1" applyAlignment="1">
      <alignment vertical="top"/>
    </xf>
    <xf numFmtId="0" fontId="17" fillId="0" borderId="0" xfId="0" applyFont="1" applyAlignment="1">
      <alignment horizontal="left" vertical="top" wrapText="1"/>
    </xf>
    <xf numFmtId="0" fontId="0" fillId="4" borderId="0" xfId="0" applyFill="1" applyAlignment="1">
      <alignment wrapText="1"/>
    </xf>
    <xf numFmtId="49" fontId="0" fillId="4" borderId="0" xfId="0" applyNumberFormat="1" applyFill="1" applyAlignment="1">
      <alignment wrapText="1"/>
    </xf>
    <xf numFmtId="0" fontId="0" fillId="4" borderId="0" xfId="0" applyFill="1" applyAlignment="1">
      <alignment horizontal="left" wrapText="1"/>
    </xf>
    <xf numFmtId="0" fontId="5" fillId="0" borderId="0" xfId="0" applyFont="1" applyAlignment="1">
      <alignment horizontal="left" vertical="top" wrapText="1"/>
    </xf>
    <xf numFmtId="0" fontId="19" fillId="7" borderId="0" xfId="0" applyFont="1" applyFill="1" applyAlignment="1">
      <alignment horizontal="left" vertical="top" wrapText="1"/>
    </xf>
    <xf numFmtId="0" fontId="24" fillId="0" borderId="0" xfId="1" applyAlignment="1">
      <alignment vertical="top" wrapText="1"/>
    </xf>
    <xf numFmtId="164" fontId="19" fillId="2" borderId="0" xfId="0" applyNumberFormat="1" applyFont="1" applyFill="1" applyAlignment="1">
      <alignment horizontal="left" vertical="top" wrapText="1"/>
    </xf>
    <xf numFmtId="0" fontId="4" fillId="2" borderId="0" xfId="0" applyFont="1" applyFill="1" applyAlignment="1">
      <alignment horizontal="left" vertical="top" wrapText="1"/>
    </xf>
    <xf numFmtId="0" fontId="24" fillId="0" borderId="0" xfId="1"/>
    <xf numFmtId="0" fontId="11" fillId="0" borderId="0" xfId="0" applyFont="1" applyAlignment="1">
      <alignment vertical="top" wrapText="1"/>
    </xf>
    <xf numFmtId="0" fontId="24" fillId="0" borderId="0" xfId="1" applyAlignment="1">
      <alignment wrapText="1"/>
    </xf>
    <xf numFmtId="0" fontId="3" fillId="0" borderId="0" xfId="0" applyFont="1" applyAlignment="1">
      <alignment horizontal="left" vertical="top" wrapText="1"/>
    </xf>
    <xf numFmtId="0" fontId="3" fillId="0" borderId="0" xfId="0" applyFont="1" applyAlignment="1">
      <alignment horizontal="left" vertical="top"/>
    </xf>
    <xf numFmtId="0" fontId="2" fillId="0" borderId="0" xfId="0" applyFont="1" applyAlignment="1">
      <alignment horizontal="left" vertical="top" wrapText="1"/>
    </xf>
    <xf numFmtId="0" fontId="2" fillId="0" borderId="0" xfId="0" applyFont="1" applyAlignment="1">
      <alignment wrapText="1"/>
    </xf>
    <xf numFmtId="0" fontId="1" fillId="0" borderId="0" xfId="0" applyFont="1" applyAlignment="1">
      <alignment horizontal="left" vertical="top" wrapText="1"/>
    </xf>
  </cellXfs>
  <cellStyles count="2">
    <cellStyle name="Lien hypertexte" xfId="1" builtinId="8"/>
    <cellStyle name="Normal" xfId="0" builtinId="0"/>
  </cellStyles>
  <dxfs count="13">
    <dxf>
      <fill>
        <patternFill>
          <bgColor rgb="FFFFC000"/>
        </patternFill>
      </fill>
    </dxf>
    <dxf>
      <font>
        <color rgb="FFFFFFFF"/>
      </font>
      <fill>
        <patternFill>
          <bgColor theme="1"/>
        </patternFill>
      </fill>
    </dxf>
    <dxf>
      <font>
        <color rgb="FFFFFFFF"/>
      </font>
      <fill>
        <patternFill>
          <bgColor theme="1"/>
        </patternFill>
      </fill>
    </dxf>
    <dxf>
      <font>
        <sz val="11"/>
        <color rgb="FFFFFFFF"/>
        <name val="Aptos Narrow"/>
        <family val="2"/>
        <charset val="1"/>
      </font>
      <fill>
        <patternFill>
          <bgColor theme="1"/>
        </patternFill>
      </fill>
    </dxf>
    <dxf>
      <font>
        <sz val="11"/>
        <color rgb="FFFFFFFF"/>
        <name val="Aptos Narrow"/>
        <family val="2"/>
        <charset val="1"/>
      </font>
      <fill>
        <patternFill>
          <bgColor theme="1"/>
        </patternFill>
      </fill>
    </dxf>
    <dxf>
      <font>
        <sz val="11"/>
        <color rgb="FFFFFFFF"/>
        <name val="Aptos Narrow"/>
        <family val="2"/>
        <charset val="1"/>
      </font>
      <fill>
        <patternFill>
          <bgColor theme="1"/>
        </patternFill>
      </fill>
    </dxf>
    <dxf>
      <font>
        <color rgb="FFFFFFFF"/>
      </font>
      <fill>
        <patternFill>
          <bgColor theme="1"/>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C6C6C6"/>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000"/>
      <rgbColor rgb="FFFFBF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Hedieh Keshavarz" id="{B5794D3C-6680-45C5-92B3-00D81B276AD0}" userId="hkeshavarz@artm.quebec" providerId="PeoplePicker"/>
  <person displayName="Mathilde Moliner" id="{E420B630-657D-43FC-B570-820068CB5D59}" userId="S::mmoliner@artm.quebec::9c99e1a1-9943-4f89-8978-abbb18a49a22" providerId="AD"/>
</personList>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H48" dT="2026-04-20T19:50:47.52" personId="{E420B630-657D-43FC-B570-820068CB5D59}" id="{28389B61-EF3A-490D-8EC3-8B04699C8413}">
    <text>@Hedieh Keshavarz  revoir le pronom pour la version neutre</text>
    <mentions>
      <mention mentionpersonId="{B5794D3C-6680-45C5-92B3-00D81B276AD0}" mentionId="{96B4655B-76EB-45EC-A9AF-73DD6A716324}" startIndex="0" length="17"/>
    </mentions>
  </threadedComment>
</ThreadedComments>
</file>

<file path=xl/worksheets/_rels/sheet2.xml.rels><?xml version="1.0" encoding="UTF-8" standalone="yes"?>
<Relationships xmlns="http://schemas.openxmlformats.org/package/2006/relationships"><Relationship Id="rId13" Type="http://schemas.openxmlformats.org/officeDocument/2006/relationships/hyperlink" Target="https://github.com/chairemobilite/od_mtl/issues/17" TargetMode="External"/><Relationship Id="rId18" Type="http://schemas.openxmlformats.org/officeDocument/2006/relationships/hyperlink" Target="https://github.com/chairemobilite/od_mtl/issues/23" TargetMode="External"/><Relationship Id="rId26" Type="http://schemas.openxmlformats.org/officeDocument/2006/relationships/hyperlink" Target="https://github.com/chairemobilite/od_mtl/issues/30" TargetMode="External"/><Relationship Id="rId39" Type="http://schemas.openxmlformats.org/officeDocument/2006/relationships/hyperlink" Target="https://github.com/chairemobilite/od_mtl/issues/40" TargetMode="External"/><Relationship Id="rId21" Type="http://schemas.openxmlformats.org/officeDocument/2006/relationships/hyperlink" Target="https://github.com/chairemobilite/od_mtl/issues/21" TargetMode="External"/><Relationship Id="rId34" Type="http://schemas.openxmlformats.org/officeDocument/2006/relationships/hyperlink" Target="https://github.com/chairemobilite/od_mtl/issues/39" TargetMode="External"/><Relationship Id="rId42" Type="http://schemas.openxmlformats.org/officeDocument/2006/relationships/hyperlink" Target="https://github.com/chairemobilite/od_mtl/issues/45" TargetMode="External"/><Relationship Id="rId47" Type="http://schemas.openxmlformats.org/officeDocument/2006/relationships/hyperlink" Target="https://github.com/chairemobilite/od_mtl/issues/52" TargetMode="External"/><Relationship Id="rId50" Type="http://schemas.openxmlformats.org/officeDocument/2006/relationships/hyperlink" Target="https://github.com/chairemobilite/od_mtl/issues/54" TargetMode="External"/><Relationship Id="rId7" Type="http://schemas.openxmlformats.org/officeDocument/2006/relationships/hyperlink" Target="https://github.com/chairemobilite/od_mtl/issues/11" TargetMode="External"/><Relationship Id="rId2" Type="http://schemas.openxmlformats.org/officeDocument/2006/relationships/hyperlink" Target="https://github.com/chairemobilite/od_mtl/issues/6" TargetMode="External"/><Relationship Id="rId16" Type="http://schemas.openxmlformats.org/officeDocument/2006/relationships/hyperlink" Target="https://github.com/chairemobilite/od_mtl/issues/24" TargetMode="External"/><Relationship Id="rId29" Type="http://schemas.openxmlformats.org/officeDocument/2006/relationships/hyperlink" Target="https://github.com/chairemobilite/od_mtl/issues/33" TargetMode="External"/><Relationship Id="rId11" Type="http://schemas.openxmlformats.org/officeDocument/2006/relationships/hyperlink" Target="https://github.com/chairemobilite/od_mtl/issues/15" TargetMode="External"/><Relationship Id="rId24" Type="http://schemas.openxmlformats.org/officeDocument/2006/relationships/hyperlink" Target="https://github.com/chairemobilite/od_mtl/issues/28" TargetMode="External"/><Relationship Id="rId32" Type="http://schemas.openxmlformats.org/officeDocument/2006/relationships/hyperlink" Target="https://github.com/chairemobilite/od_mtl/issues/37" TargetMode="External"/><Relationship Id="rId37" Type="http://schemas.openxmlformats.org/officeDocument/2006/relationships/hyperlink" Target="https://github.com/chairemobilite/od_mtl/issues/40" TargetMode="External"/><Relationship Id="rId40" Type="http://schemas.openxmlformats.org/officeDocument/2006/relationships/hyperlink" Target="https://github.com/chairemobilite/od_mtl/issues/42" TargetMode="External"/><Relationship Id="rId45" Type="http://schemas.openxmlformats.org/officeDocument/2006/relationships/hyperlink" Target="https://github.com/chairemobilite/od_mtl/issues/49" TargetMode="External"/><Relationship Id="rId53" Type="http://schemas.openxmlformats.org/officeDocument/2006/relationships/comments" Target="../comments1.xml"/><Relationship Id="rId5" Type="http://schemas.openxmlformats.org/officeDocument/2006/relationships/hyperlink" Target="https://github.com/chairemobilite/od_mtl/issues/9" TargetMode="External"/><Relationship Id="rId10" Type="http://schemas.openxmlformats.org/officeDocument/2006/relationships/hyperlink" Target="https://github.com/chairemobilite/od_mtl/issues/14" TargetMode="External"/><Relationship Id="rId19" Type="http://schemas.openxmlformats.org/officeDocument/2006/relationships/hyperlink" Target="https://github.com/chairemobilite/od_mtl/issues/22" TargetMode="External"/><Relationship Id="rId31" Type="http://schemas.openxmlformats.org/officeDocument/2006/relationships/hyperlink" Target="https://github.com/chairemobilite/od_mtl/issues/36" TargetMode="External"/><Relationship Id="rId44" Type="http://schemas.openxmlformats.org/officeDocument/2006/relationships/hyperlink" Target="https://github.com/chairemobilite/od_mtl/issues/47" TargetMode="External"/><Relationship Id="rId52" Type="http://schemas.openxmlformats.org/officeDocument/2006/relationships/vmlDrawing" Target="../drawings/vmlDrawing1.vml"/><Relationship Id="rId4" Type="http://schemas.openxmlformats.org/officeDocument/2006/relationships/hyperlink" Target="https://github.com/chairemobilite/od_mtl/issues/8" TargetMode="External"/><Relationship Id="rId9" Type="http://schemas.openxmlformats.org/officeDocument/2006/relationships/hyperlink" Target="https://github.com/chairemobilite/od_mtl/issues/13" TargetMode="External"/><Relationship Id="rId14" Type="http://schemas.openxmlformats.org/officeDocument/2006/relationships/hyperlink" Target="https://github.com/chairemobilite/od_mtl/issues/19" TargetMode="External"/><Relationship Id="rId22" Type="http://schemas.openxmlformats.org/officeDocument/2006/relationships/hyperlink" Target="https://github.com/chairemobilite/od_mtl/issues/26" TargetMode="External"/><Relationship Id="rId27" Type="http://schemas.openxmlformats.org/officeDocument/2006/relationships/hyperlink" Target="https://github.com/chairemobilite/od_mtl/issues/31" TargetMode="External"/><Relationship Id="rId30" Type="http://schemas.openxmlformats.org/officeDocument/2006/relationships/hyperlink" Target="https://github.com/chairemobilite/od_mtl/issues/34" TargetMode="External"/><Relationship Id="rId35" Type="http://schemas.openxmlformats.org/officeDocument/2006/relationships/hyperlink" Target="https://github.com/chairemobilite/od_mtl/issues/40" TargetMode="External"/><Relationship Id="rId43" Type="http://schemas.openxmlformats.org/officeDocument/2006/relationships/hyperlink" Target="https://github.com/chairemobilite/od_mtl/issues/45" TargetMode="External"/><Relationship Id="rId48" Type="http://schemas.openxmlformats.org/officeDocument/2006/relationships/hyperlink" Target="https://github.com/chairemobilite/od_mtl/issues/53" TargetMode="External"/><Relationship Id="rId8" Type="http://schemas.openxmlformats.org/officeDocument/2006/relationships/hyperlink" Target="https://github.com/chairemobilite/od_mtl/issues/12" TargetMode="External"/><Relationship Id="rId51" Type="http://schemas.openxmlformats.org/officeDocument/2006/relationships/hyperlink" Target="https://github.com/chairemobilite/od_mtl/issues/13" TargetMode="External"/><Relationship Id="rId3" Type="http://schemas.openxmlformats.org/officeDocument/2006/relationships/hyperlink" Target="https://github.com/chairemobilite/od_mtl/issues/7" TargetMode="External"/><Relationship Id="rId12" Type="http://schemas.openxmlformats.org/officeDocument/2006/relationships/hyperlink" Target="https://github.com/chairemobilite/od_mtl/issues/16" TargetMode="External"/><Relationship Id="rId17" Type="http://schemas.openxmlformats.org/officeDocument/2006/relationships/hyperlink" Target="https://github.com/chairemobilite/od_mtl/issues/23" TargetMode="External"/><Relationship Id="rId25" Type="http://schemas.openxmlformats.org/officeDocument/2006/relationships/hyperlink" Target="https://github.com/chairemobilite/od_mtl/issues/29" TargetMode="External"/><Relationship Id="rId33" Type="http://schemas.openxmlformats.org/officeDocument/2006/relationships/hyperlink" Target="https://github.com/chairemobilite/od_mtl/issues/38" TargetMode="External"/><Relationship Id="rId38" Type="http://schemas.openxmlformats.org/officeDocument/2006/relationships/hyperlink" Target="https://github.com/chairemobilite/od_mtl/issues/39" TargetMode="External"/><Relationship Id="rId46" Type="http://schemas.openxmlformats.org/officeDocument/2006/relationships/hyperlink" Target="https://github.com/chairemobilite/od_mtl/issues/50" TargetMode="External"/><Relationship Id="rId20" Type="http://schemas.openxmlformats.org/officeDocument/2006/relationships/hyperlink" Target="https://github.com/chairemobilite/od_mtl/issues/21" TargetMode="External"/><Relationship Id="rId41" Type="http://schemas.openxmlformats.org/officeDocument/2006/relationships/hyperlink" Target="https://github.com/chairemobilite/od_mtl/issues/25" TargetMode="External"/><Relationship Id="rId54" Type="http://schemas.microsoft.com/office/2017/10/relationships/threadedComment" Target="../threadedComments/threadedComment1.xml"/><Relationship Id="rId1" Type="http://schemas.openxmlformats.org/officeDocument/2006/relationships/hyperlink" Target="https://github.com/chairemobilite/od_mtl/issues/5" TargetMode="External"/><Relationship Id="rId6" Type="http://schemas.openxmlformats.org/officeDocument/2006/relationships/hyperlink" Target="https://github.com/chairemobilite/od_mtl/issues/10" TargetMode="External"/><Relationship Id="rId15" Type="http://schemas.openxmlformats.org/officeDocument/2006/relationships/hyperlink" Target="https://github.com/chairemobilite/od_mtl/issues/20" TargetMode="External"/><Relationship Id="rId23" Type="http://schemas.openxmlformats.org/officeDocument/2006/relationships/hyperlink" Target="https://github.com/chairemobilite/od_mtl/issues/27" TargetMode="External"/><Relationship Id="rId28" Type="http://schemas.openxmlformats.org/officeDocument/2006/relationships/hyperlink" Target="https://github.com/chairemobilite/od_mtl/issues/32" TargetMode="External"/><Relationship Id="rId36" Type="http://schemas.openxmlformats.org/officeDocument/2006/relationships/hyperlink" Target="https://github.com/chairemobilite/od_mtl/issues/40" TargetMode="External"/><Relationship Id="rId49" Type="http://schemas.openxmlformats.org/officeDocument/2006/relationships/hyperlink" Target="https://github.com/chairemobilite/od_mtl/issues/5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4"/>
  <sheetViews>
    <sheetView zoomScaleNormal="100" workbookViewId="0">
      <selection activeCell="D12" sqref="D12"/>
    </sheetView>
  </sheetViews>
  <sheetFormatPr baseColWidth="10" defaultColWidth="10.7109375" defaultRowHeight="15" x14ac:dyDescent="0.25"/>
  <cols>
    <col min="1" max="1" width="13.5703125" style="2" bestFit="1" customWidth="1"/>
    <col min="2" max="2" width="12.28515625" style="2" bestFit="1" customWidth="1"/>
    <col min="3" max="3" width="30" style="2" bestFit="1" customWidth="1"/>
    <col min="4" max="4" width="27.140625" style="2" bestFit="1" customWidth="1"/>
    <col min="5" max="6" width="10.7109375" style="2"/>
    <col min="7" max="7" width="12" style="2" customWidth="1"/>
    <col min="8" max="8" width="15.42578125" style="2" customWidth="1"/>
    <col min="9" max="16384" width="10.7109375" style="2"/>
  </cols>
  <sheetData>
    <row r="1" spans="1:8" ht="19.5" customHeight="1" x14ac:dyDescent="0.25">
      <c r="A1" s="15" t="s">
        <v>3</v>
      </c>
      <c r="B1" s="15" t="s">
        <v>477</v>
      </c>
      <c r="C1" s="15" t="s">
        <v>478</v>
      </c>
      <c r="D1" s="15" t="s">
        <v>479</v>
      </c>
      <c r="E1" s="15" t="s">
        <v>480</v>
      </c>
      <c r="F1" s="15" t="s">
        <v>481</v>
      </c>
      <c r="G1" s="13" t="s">
        <v>482</v>
      </c>
      <c r="H1" s="15" t="s">
        <v>483</v>
      </c>
    </row>
    <row r="2" spans="1:8" x14ac:dyDescent="0.25">
      <c r="A2" s="16" t="s">
        <v>27</v>
      </c>
      <c r="B2" s="16" t="s">
        <v>484</v>
      </c>
      <c r="C2" s="16" t="s">
        <v>485</v>
      </c>
      <c r="D2" s="16" t="s">
        <v>486</v>
      </c>
      <c r="E2" s="16" t="b">
        <f>TRUE()</f>
        <v>1</v>
      </c>
      <c r="F2" s="16" t="b">
        <f>FALSE()</f>
        <v>0</v>
      </c>
      <c r="G2" s="16" t="b">
        <f>TRUE()</f>
        <v>1</v>
      </c>
      <c r="H2" s="16"/>
    </row>
    <row r="3" spans="1:8" x14ac:dyDescent="0.25">
      <c r="A3" s="16" t="s">
        <v>84</v>
      </c>
      <c r="B3" s="16" t="s">
        <v>487</v>
      </c>
      <c r="C3" s="16" t="s">
        <v>488</v>
      </c>
      <c r="D3" s="16" t="s">
        <v>489</v>
      </c>
      <c r="E3" s="16" t="b">
        <f>TRUE()</f>
        <v>1</v>
      </c>
      <c r="F3" s="16" t="b">
        <f>FALSE()</f>
        <v>0</v>
      </c>
      <c r="G3" s="16" t="b">
        <f>TRUE()</f>
        <v>1</v>
      </c>
      <c r="H3" s="16"/>
    </row>
    <row r="4" spans="1:8" x14ac:dyDescent="0.25">
      <c r="A4" s="16" t="s">
        <v>490</v>
      </c>
      <c r="B4" s="16" t="s">
        <v>491</v>
      </c>
      <c r="C4" s="16" t="s">
        <v>492</v>
      </c>
      <c r="D4" s="16" t="s">
        <v>493</v>
      </c>
      <c r="E4" s="16" t="b">
        <f>TRUE()</f>
        <v>1</v>
      </c>
      <c r="F4" s="16" t="b">
        <f>FALSE()</f>
        <v>0</v>
      </c>
      <c r="G4" s="16" t="b">
        <f>TRUE()</f>
        <v>1</v>
      </c>
      <c r="H4" s="16"/>
    </row>
    <row r="5" spans="1:8" x14ac:dyDescent="0.25">
      <c r="A5" s="16" t="s">
        <v>170</v>
      </c>
      <c r="B5" s="16" t="s">
        <v>494</v>
      </c>
      <c r="C5" s="16" t="s">
        <v>495</v>
      </c>
      <c r="D5" s="16" t="s">
        <v>496</v>
      </c>
      <c r="E5" s="16" t="b">
        <f>FALSE()</f>
        <v>0</v>
      </c>
      <c r="F5" s="16" t="b">
        <f>FALSE()</f>
        <v>0</v>
      </c>
      <c r="G5" s="16" t="b">
        <f>TRUE()</f>
        <v>1</v>
      </c>
      <c r="H5" s="16" t="s">
        <v>490</v>
      </c>
    </row>
    <row r="6" spans="1:8" x14ac:dyDescent="0.25">
      <c r="A6" s="16" t="s">
        <v>178</v>
      </c>
      <c r="B6" s="16" t="s">
        <v>497</v>
      </c>
      <c r="C6" s="16" t="s">
        <v>498</v>
      </c>
      <c r="D6" s="16" t="s">
        <v>493</v>
      </c>
      <c r="E6" s="16" t="b">
        <f>FALSE()</f>
        <v>0</v>
      </c>
      <c r="F6" s="16" t="b">
        <f>FALSE()</f>
        <v>0</v>
      </c>
      <c r="G6" s="16" t="b">
        <f>TRUE()</f>
        <v>1</v>
      </c>
      <c r="H6" s="16" t="s">
        <v>490</v>
      </c>
    </row>
    <row r="7" spans="1:8" x14ac:dyDescent="0.25">
      <c r="A7" s="16" t="s">
        <v>216</v>
      </c>
      <c r="B7" s="16" t="s">
        <v>499</v>
      </c>
      <c r="C7" s="16" t="s">
        <v>492</v>
      </c>
      <c r="D7" s="16" t="s">
        <v>492</v>
      </c>
      <c r="E7" s="16" t="b">
        <f>FALSE()</f>
        <v>0</v>
      </c>
      <c r="F7" s="16" t="b">
        <f>TRUE()</f>
        <v>1</v>
      </c>
      <c r="G7" s="16"/>
      <c r="H7" s="16" t="s">
        <v>490</v>
      </c>
    </row>
    <row r="8" spans="1:8" x14ac:dyDescent="0.25">
      <c r="A8" s="16" t="s">
        <v>284</v>
      </c>
      <c r="B8" s="16" t="s">
        <v>500</v>
      </c>
      <c r="C8" s="16" t="s">
        <v>501</v>
      </c>
      <c r="D8" s="16" t="s">
        <v>502</v>
      </c>
      <c r="E8" s="16" t="b">
        <f>FALSE()</f>
        <v>0</v>
      </c>
      <c r="F8" s="16" t="b">
        <f>TRUE()</f>
        <v>1</v>
      </c>
      <c r="G8" s="16"/>
      <c r="H8" s="16" t="s">
        <v>490</v>
      </c>
    </row>
    <row r="9" spans="1:8" x14ac:dyDescent="0.25">
      <c r="A9" s="16" t="s">
        <v>331</v>
      </c>
      <c r="B9" s="16" t="s">
        <v>503</v>
      </c>
      <c r="C9" s="16" t="s">
        <v>504</v>
      </c>
      <c r="D9" s="16" t="s">
        <v>505</v>
      </c>
      <c r="E9" s="16" t="b">
        <f>FALSE()</f>
        <v>0</v>
      </c>
      <c r="F9" s="16" t="b">
        <f>FALSE()</f>
        <v>0</v>
      </c>
      <c r="G9" s="16" t="b">
        <f>FALSE()</f>
        <v>0</v>
      </c>
      <c r="H9" s="16" t="s">
        <v>490</v>
      </c>
    </row>
    <row r="10" spans="1:8" x14ac:dyDescent="0.25">
      <c r="A10" s="78" t="s">
        <v>2054</v>
      </c>
      <c r="B10" s="78" t="s">
        <v>2165</v>
      </c>
      <c r="C10" s="51" t="s">
        <v>1767</v>
      </c>
      <c r="D10" s="16"/>
      <c r="E10" s="16"/>
      <c r="F10" s="16"/>
      <c r="G10" s="16"/>
      <c r="H10" s="16"/>
    </row>
    <row r="11" spans="1:8" x14ac:dyDescent="0.25">
      <c r="A11" s="78" t="s">
        <v>2142</v>
      </c>
      <c r="B11" s="16" t="s">
        <v>1037</v>
      </c>
      <c r="C11" s="16" t="s">
        <v>1038</v>
      </c>
      <c r="D11" s="78" t="s">
        <v>2166</v>
      </c>
      <c r="E11" s="16"/>
      <c r="F11" s="16"/>
      <c r="G11" s="16"/>
      <c r="H11" s="16"/>
    </row>
    <row r="12" spans="1:8" x14ac:dyDescent="0.25">
      <c r="A12" s="16" t="s">
        <v>347</v>
      </c>
      <c r="B12" s="16" t="s">
        <v>506</v>
      </c>
      <c r="C12" s="16" t="s">
        <v>507</v>
      </c>
      <c r="D12" s="16" t="s">
        <v>508</v>
      </c>
      <c r="E12" s="16" t="b">
        <f>FALSE()</f>
        <v>0</v>
      </c>
      <c r="F12" s="16" t="b">
        <f>FALSE()</f>
        <v>0</v>
      </c>
      <c r="G12" s="16" t="b">
        <f>FALSE()</f>
        <v>0</v>
      </c>
      <c r="H12" s="16" t="s">
        <v>377</v>
      </c>
    </row>
    <row r="13" spans="1:8" x14ac:dyDescent="0.25">
      <c r="A13" s="16" t="s">
        <v>377</v>
      </c>
      <c r="B13" s="16" t="s">
        <v>509</v>
      </c>
      <c r="C13" s="16" t="s">
        <v>510</v>
      </c>
      <c r="D13" s="16" t="s">
        <v>511</v>
      </c>
      <c r="E13" s="16" t="b">
        <f>TRUE()</f>
        <v>1</v>
      </c>
      <c r="F13" s="16" t="b">
        <f>FALSE()</f>
        <v>0</v>
      </c>
      <c r="G13" s="16" t="b">
        <f>FALSE()</f>
        <v>0</v>
      </c>
      <c r="H13" s="16"/>
    </row>
    <row r="14" spans="1:8" x14ac:dyDescent="0.25">
      <c r="A14" s="16" t="s">
        <v>431</v>
      </c>
      <c r="B14" s="16" t="s">
        <v>512</v>
      </c>
      <c r="C14" s="16" t="s">
        <v>513</v>
      </c>
      <c r="D14" s="16" t="s">
        <v>514</v>
      </c>
      <c r="E14" s="16" t="b">
        <f>FALSE()</f>
        <v>0</v>
      </c>
      <c r="F14" s="16" t="b">
        <f>FALSE()</f>
        <v>0</v>
      </c>
      <c r="G14" s="16" t="b">
        <f>TRUE()</f>
        <v>1</v>
      </c>
      <c r="H14" s="16" t="s">
        <v>377</v>
      </c>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AD227"/>
  <sheetViews>
    <sheetView zoomScaleNormal="100" workbookViewId="0">
      <pane xSplit="2" ySplit="1" topLeftCell="O66" activePane="bottomRight" state="frozen"/>
      <selection pane="topRight" activeCell="D1" sqref="D1"/>
      <selection pane="bottomLeft" activeCell="A15" sqref="A15"/>
      <selection pane="bottomRight" activeCell="S73" sqref="S73"/>
    </sheetView>
  </sheetViews>
  <sheetFormatPr baseColWidth="10" defaultColWidth="9.140625" defaultRowHeight="15" x14ac:dyDescent="0.25"/>
  <cols>
    <col min="1" max="1" width="26.5703125" style="21" customWidth="1"/>
    <col min="2" max="2" width="11.28515625" style="21" customWidth="1"/>
    <col min="3" max="4" width="11.140625" style="21" customWidth="1"/>
    <col min="5" max="5" width="15" style="21" customWidth="1"/>
    <col min="6" max="6" width="37.140625" style="21" customWidth="1"/>
    <col min="7" max="7" width="43.85546875" style="21" customWidth="1"/>
    <col min="8" max="8" width="44.28515625" style="21" customWidth="1"/>
    <col min="9" max="9" width="40.7109375" style="21" customWidth="1"/>
    <col min="10" max="10" width="40.85546875" style="21" customWidth="1"/>
    <col min="11" max="14" width="31.5703125" style="21" hidden="1" customWidth="1"/>
    <col min="15" max="15" width="21" style="21" customWidth="1"/>
    <col min="16" max="16" width="22.7109375" style="21" hidden="1" customWidth="1"/>
    <col min="17" max="17" width="42" style="21" customWidth="1"/>
    <col min="18" max="18" width="20.42578125" style="21" customWidth="1"/>
    <col min="19" max="19" width="23" style="21" customWidth="1"/>
    <col min="20" max="20" width="16.28515625" style="21" customWidth="1"/>
    <col min="21" max="21" width="11.28515625" style="21" hidden="1" customWidth="1"/>
    <col min="22" max="22" width="19.5703125" style="21" hidden="1" customWidth="1"/>
    <col min="23" max="23" width="10.5703125" style="21" hidden="1" customWidth="1"/>
    <col min="24" max="24" width="14.42578125" style="21" hidden="1" customWidth="1"/>
    <col min="25" max="25" width="14.140625" style="21" hidden="1" customWidth="1"/>
    <col min="26" max="26" width="14" style="21" hidden="1" customWidth="1"/>
    <col min="27" max="27" width="15.42578125" style="21" hidden="1" customWidth="1"/>
    <col min="28" max="28" width="11.140625" style="21" hidden="1" customWidth="1"/>
    <col min="29" max="29" width="35" style="21" customWidth="1"/>
    <col min="30" max="30" width="103.42578125" style="62" bestFit="1" customWidth="1"/>
    <col min="31" max="16384" width="9.140625" style="22"/>
  </cols>
  <sheetData>
    <row r="1" spans="1:30" s="21" customFormat="1" ht="30" x14ac:dyDescent="0.25">
      <c r="A1" s="20" t="s">
        <v>0</v>
      </c>
      <c r="B1" s="20" t="s">
        <v>1</v>
      </c>
      <c r="C1" s="20" t="s">
        <v>2</v>
      </c>
      <c r="D1" s="20" t="s">
        <v>3</v>
      </c>
      <c r="E1" s="20" t="s">
        <v>4</v>
      </c>
      <c r="F1" s="20" t="s">
        <v>5</v>
      </c>
      <c r="G1" s="20" t="s">
        <v>6</v>
      </c>
      <c r="H1" s="20" t="s">
        <v>7</v>
      </c>
      <c r="I1" s="20" t="s">
        <v>8</v>
      </c>
      <c r="J1" s="20" t="s">
        <v>9</v>
      </c>
      <c r="K1" s="20" t="s">
        <v>1024</v>
      </c>
      <c r="L1" s="20" t="s">
        <v>1025</v>
      </c>
      <c r="M1" s="20" t="s">
        <v>1026</v>
      </c>
      <c r="N1" s="20" t="s">
        <v>2174</v>
      </c>
      <c r="O1" s="20" t="s">
        <v>10</v>
      </c>
      <c r="P1" s="20" t="s">
        <v>11</v>
      </c>
      <c r="Q1" s="20" t="s">
        <v>12</v>
      </c>
      <c r="R1" s="20" t="s">
        <v>13</v>
      </c>
      <c r="S1" s="20" t="s">
        <v>14</v>
      </c>
      <c r="T1" s="20" t="s">
        <v>15</v>
      </c>
      <c r="U1" s="20" t="s">
        <v>16</v>
      </c>
      <c r="V1" s="20" t="s">
        <v>23</v>
      </c>
      <c r="W1" s="20" t="s">
        <v>17</v>
      </c>
      <c r="X1" s="20" t="s">
        <v>18</v>
      </c>
      <c r="Y1" s="20" t="s">
        <v>19</v>
      </c>
      <c r="Z1" s="20" t="s">
        <v>20</v>
      </c>
      <c r="AA1" s="20" t="s">
        <v>21</v>
      </c>
      <c r="AB1" s="20" t="s">
        <v>22</v>
      </c>
      <c r="AC1" s="20" t="s">
        <v>24</v>
      </c>
      <c r="AD1" s="20" t="s">
        <v>1855</v>
      </c>
    </row>
    <row r="2" spans="1:30" ht="30" x14ac:dyDescent="0.25">
      <c r="A2" s="21" t="s">
        <v>25</v>
      </c>
      <c r="B2" s="21" t="s">
        <v>26</v>
      </c>
      <c r="C2" s="21" t="b">
        <f>TRUE()</f>
        <v>1</v>
      </c>
      <c r="D2" s="21" t="s">
        <v>27</v>
      </c>
      <c r="F2" s="21" t="s">
        <v>25</v>
      </c>
      <c r="G2" s="21" t="s">
        <v>28</v>
      </c>
      <c r="H2" s="21" t="s">
        <v>29</v>
      </c>
      <c r="O2" s="21" t="s">
        <v>30</v>
      </c>
      <c r="R2" s="21" t="s">
        <v>31</v>
      </c>
      <c r="T2" s="21" t="s">
        <v>1035</v>
      </c>
      <c r="Y2" s="21" t="b">
        <f>TRUE()</f>
        <v>1</v>
      </c>
      <c r="AD2" s="61" t="s">
        <v>1856</v>
      </c>
    </row>
    <row r="3" spans="1:30" ht="60" x14ac:dyDescent="0.25">
      <c r="A3" s="21" t="s">
        <v>32</v>
      </c>
      <c r="B3" s="21" t="s">
        <v>33</v>
      </c>
      <c r="C3" s="21" t="b">
        <f>TRUE()</f>
        <v>1</v>
      </c>
      <c r="D3" s="21" t="s">
        <v>27</v>
      </c>
      <c r="F3" s="21" t="s">
        <v>32</v>
      </c>
      <c r="G3" s="21" t="s">
        <v>34</v>
      </c>
      <c r="H3" s="21" t="s">
        <v>35</v>
      </c>
      <c r="S3" s="21" t="s">
        <v>36</v>
      </c>
      <c r="Y3" s="21" t="b">
        <f>TRUE()</f>
        <v>1</v>
      </c>
    </row>
    <row r="4" spans="1:30" ht="60" x14ac:dyDescent="0.25">
      <c r="A4" s="21" t="s">
        <v>1027</v>
      </c>
      <c r="B4" s="21" t="s">
        <v>33</v>
      </c>
      <c r="C4" s="21" t="b">
        <f>TRUE()</f>
        <v>1</v>
      </c>
      <c r="D4" s="21" t="s">
        <v>27</v>
      </c>
      <c r="F4" s="21" t="s">
        <v>1027</v>
      </c>
      <c r="G4" s="21" t="s">
        <v>1033</v>
      </c>
      <c r="H4" s="21" t="s">
        <v>1498</v>
      </c>
      <c r="S4" s="21" t="s">
        <v>36</v>
      </c>
      <c r="Y4" s="21" t="b">
        <f>TRUE()</f>
        <v>1</v>
      </c>
    </row>
    <row r="5" spans="1:30" x14ac:dyDescent="0.25">
      <c r="A5" s="21" t="s">
        <v>37</v>
      </c>
      <c r="B5" s="21" t="s">
        <v>38</v>
      </c>
      <c r="C5" s="21" t="b">
        <f>TRUE()</f>
        <v>1</v>
      </c>
      <c r="D5" s="21" t="s">
        <v>27</v>
      </c>
      <c r="F5" s="21" t="s">
        <v>37</v>
      </c>
      <c r="G5" s="21" t="s">
        <v>1028</v>
      </c>
      <c r="H5" s="38" t="s">
        <v>1499</v>
      </c>
      <c r="Q5" s="21" t="s">
        <v>39</v>
      </c>
      <c r="Y5" s="21" t="b">
        <f>TRUE()</f>
        <v>1</v>
      </c>
    </row>
    <row r="6" spans="1:30" ht="30" x14ac:dyDescent="0.25">
      <c r="A6" s="21" t="s">
        <v>40</v>
      </c>
      <c r="B6" s="21" t="s">
        <v>26</v>
      </c>
      <c r="C6" s="21" t="b">
        <f>TRUE()</f>
        <v>1</v>
      </c>
      <c r="D6" s="21" t="s">
        <v>27</v>
      </c>
      <c r="F6" s="21" t="s">
        <v>40</v>
      </c>
      <c r="G6" s="21" t="s">
        <v>41</v>
      </c>
      <c r="H6" s="21" t="s">
        <v>42</v>
      </c>
      <c r="Q6" s="21" t="s">
        <v>39</v>
      </c>
      <c r="R6" s="21" t="s">
        <v>43</v>
      </c>
      <c r="Y6" s="21" t="b">
        <f>TRUE()</f>
        <v>1</v>
      </c>
    </row>
    <row r="7" spans="1:30" x14ac:dyDescent="0.25">
      <c r="A7" s="21" t="s">
        <v>44</v>
      </c>
      <c r="B7" s="21" t="s">
        <v>26</v>
      </c>
      <c r="C7" s="21" t="b">
        <f>TRUE()</f>
        <v>1</v>
      </c>
      <c r="D7" s="21" t="s">
        <v>27</v>
      </c>
      <c r="F7" s="21" t="str">
        <f t="shared" ref="F7:F10" si="0">REPLACE(A7, FIND("_", A7), 1, ".")</f>
        <v>home.address</v>
      </c>
      <c r="G7" s="21" t="s">
        <v>45</v>
      </c>
      <c r="H7" s="21" t="s">
        <v>46</v>
      </c>
      <c r="Y7" s="21" t="b">
        <f>TRUE()</f>
        <v>1</v>
      </c>
    </row>
    <row r="8" spans="1:30" x14ac:dyDescent="0.25">
      <c r="A8" s="21" t="s">
        <v>47</v>
      </c>
      <c r="B8" s="21" t="s">
        <v>26</v>
      </c>
      <c r="C8" s="21" t="b">
        <f>TRUE()</f>
        <v>1</v>
      </c>
      <c r="D8" s="21" t="s">
        <v>27</v>
      </c>
      <c r="F8" s="21" t="str">
        <f t="shared" si="0"/>
        <v>home.city</v>
      </c>
      <c r="G8" s="21" t="s">
        <v>48</v>
      </c>
      <c r="H8" s="21" t="s">
        <v>49</v>
      </c>
      <c r="Y8" s="21" t="b">
        <f>TRUE()</f>
        <v>1</v>
      </c>
    </row>
    <row r="9" spans="1:30" ht="30" x14ac:dyDescent="0.25">
      <c r="A9" s="21" t="s">
        <v>50</v>
      </c>
      <c r="B9" s="21" t="s">
        <v>26</v>
      </c>
      <c r="C9" s="21" t="b">
        <f>TRUE()</f>
        <v>1</v>
      </c>
      <c r="D9" s="21" t="s">
        <v>27</v>
      </c>
      <c r="F9" s="21" t="str">
        <f t="shared" si="0"/>
        <v>home.postalCode</v>
      </c>
      <c r="G9" s="21" t="s">
        <v>51</v>
      </c>
      <c r="H9" s="21" t="s">
        <v>52</v>
      </c>
      <c r="O9" s="21" t="s">
        <v>53</v>
      </c>
      <c r="R9" s="21" t="s">
        <v>54</v>
      </c>
      <c r="Y9" s="21" t="b">
        <f>TRUE()</f>
        <v>1</v>
      </c>
    </row>
    <row r="10" spans="1:30" ht="105" x14ac:dyDescent="0.25">
      <c r="A10" s="21" t="s">
        <v>55</v>
      </c>
      <c r="B10" s="21" t="s">
        <v>2098</v>
      </c>
      <c r="C10" s="21" t="b">
        <f>TRUE()</f>
        <v>1</v>
      </c>
      <c r="D10" s="21" t="s">
        <v>27</v>
      </c>
      <c r="F10" s="21" t="str">
        <f t="shared" si="0"/>
        <v>home.geography</v>
      </c>
      <c r="G10" s="21" t="s">
        <v>57</v>
      </c>
      <c r="H10" s="21" t="s">
        <v>1500</v>
      </c>
      <c r="R10" s="21" t="s">
        <v>1034</v>
      </c>
      <c r="Y10" s="21" t="b">
        <f>TRUE()</f>
        <v>1</v>
      </c>
      <c r="AD10" s="61" t="s">
        <v>1859</v>
      </c>
    </row>
    <row r="11" spans="1:30" ht="75" x14ac:dyDescent="0.25">
      <c r="A11" s="21" t="s">
        <v>1029</v>
      </c>
      <c r="B11" s="21" t="s">
        <v>33</v>
      </c>
      <c r="C11" s="21" t="b">
        <f>TRUE()</f>
        <v>1</v>
      </c>
      <c r="D11" s="21" t="s">
        <v>27</v>
      </c>
      <c r="F11" s="21" t="str">
        <f t="shared" ref="F11:F23" si="1">REPLACE(A11, FIND("_", A11), 1, ".")</f>
        <v>home.isMain</v>
      </c>
      <c r="G11" s="21" t="s">
        <v>2177</v>
      </c>
      <c r="H11" s="21" t="s">
        <v>1729</v>
      </c>
      <c r="Q11" s="21" t="s">
        <v>1786</v>
      </c>
      <c r="S11" s="21" t="s">
        <v>1030</v>
      </c>
      <c r="Y11" s="21" t="b">
        <f>TRUE()</f>
        <v>1</v>
      </c>
      <c r="AC11" s="21" t="s">
        <v>2047</v>
      </c>
      <c r="AD11" s="61" t="s">
        <v>1857</v>
      </c>
    </row>
    <row r="12" spans="1:30" ht="30" x14ac:dyDescent="0.25">
      <c r="A12" s="21" t="s">
        <v>376</v>
      </c>
      <c r="B12" s="21" t="s">
        <v>33</v>
      </c>
      <c r="C12" s="24" t="b">
        <f>TRUE()</f>
        <v>1</v>
      </c>
      <c r="D12" s="21" t="s">
        <v>27</v>
      </c>
      <c r="F12" s="21" t="s">
        <v>378</v>
      </c>
      <c r="G12" s="21" t="s">
        <v>379</v>
      </c>
      <c r="H12" s="21" t="s">
        <v>380</v>
      </c>
      <c r="S12" s="21" t="s">
        <v>381</v>
      </c>
      <c r="T12" s="21" t="s">
        <v>2163</v>
      </c>
      <c r="Y12" s="21" t="b">
        <f>TRUE()</f>
        <v>1</v>
      </c>
    </row>
    <row r="13" spans="1:30" ht="75" x14ac:dyDescent="0.25">
      <c r="A13" s="21" t="s">
        <v>58</v>
      </c>
      <c r="B13" s="21" t="s">
        <v>1386</v>
      </c>
      <c r="C13" s="21" t="b">
        <f>TRUE()</f>
        <v>1</v>
      </c>
      <c r="D13" s="21" t="s">
        <v>27</v>
      </c>
      <c r="F13" s="21" t="str">
        <f t="shared" si="1"/>
        <v>household.size</v>
      </c>
      <c r="G13" s="21" t="s">
        <v>59</v>
      </c>
      <c r="H13" s="21" t="s">
        <v>1501</v>
      </c>
      <c r="O13" s="21" t="s">
        <v>60</v>
      </c>
      <c r="R13" s="21" t="s">
        <v>61</v>
      </c>
      <c r="T13" s="21" t="s">
        <v>62</v>
      </c>
      <c r="Y13" s="21" t="b">
        <f>TRUE()</f>
        <v>1</v>
      </c>
    </row>
    <row r="14" spans="1:30" ht="45" x14ac:dyDescent="0.25">
      <c r="A14" s="21" t="s">
        <v>63</v>
      </c>
      <c r="B14" s="21" t="s">
        <v>1386</v>
      </c>
      <c r="C14" s="21" t="b">
        <f>TRUE()</f>
        <v>1</v>
      </c>
      <c r="D14" s="21" t="s">
        <v>27</v>
      </c>
      <c r="F14" s="21" t="str">
        <f t="shared" si="1"/>
        <v>household.carNumber</v>
      </c>
      <c r="G14" s="21" t="s">
        <v>65</v>
      </c>
      <c r="H14" s="21" t="s">
        <v>66</v>
      </c>
      <c r="O14" s="21" t="s">
        <v>1047</v>
      </c>
      <c r="R14" s="21" t="s">
        <v>67</v>
      </c>
      <c r="T14" s="21" t="s">
        <v>68</v>
      </c>
      <c r="Y14" s="21" t="b">
        <f>TRUE()</f>
        <v>1</v>
      </c>
    </row>
    <row r="15" spans="1:30" ht="45" x14ac:dyDescent="0.25">
      <c r="A15" s="21" t="s">
        <v>1049</v>
      </c>
      <c r="B15" s="21" t="s">
        <v>33</v>
      </c>
      <c r="C15" s="21" t="b">
        <f>TRUE()</f>
        <v>1</v>
      </c>
      <c r="D15" s="21" t="s">
        <v>27</v>
      </c>
      <c r="F15" s="21" t="str">
        <f t="shared" si="1"/>
        <v>household.twoWheelNumber</v>
      </c>
      <c r="G15" s="21" t="s">
        <v>1051</v>
      </c>
      <c r="H15" s="21" t="s">
        <v>1730</v>
      </c>
      <c r="S15" s="21" t="s">
        <v>1048</v>
      </c>
      <c r="T15" s="21" t="s">
        <v>1050</v>
      </c>
      <c r="Y15" s="21" t="b">
        <f>TRUE()</f>
        <v>1</v>
      </c>
    </row>
    <row r="16" spans="1:30" ht="105" x14ac:dyDescent="0.25">
      <c r="A16" s="21" t="s">
        <v>1053</v>
      </c>
      <c r="B16" s="21" t="s">
        <v>130</v>
      </c>
      <c r="C16" s="21" t="b">
        <f>TRUE()</f>
        <v>1</v>
      </c>
      <c r="D16" s="21" t="s">
        <v>27</v>
      </c>
      <c r="F16" s="21" t="str">
        <f t="shared" si="1"/>
        <v>home.carParkingsAvailableVehicleHousehold</v>
      </c>
      <c r="G16" s="21" t="s">
        <v>1854</v>
      </c>
      <c r="H16" s="21" t="s">
        <v>1731</v>
      </c>
      <c r="Q16" s="21" t="s">
        <v>1077</v>
      </c>
      <c r="S16" s="21" t="s">
        <v>1056</v>
      </c>
      <c r="Y16" s="21" t="b">
        <f>TRUE()</f>
        <v>1</v>
      </c>
      <c r="AD16" s="61" t="s">
        <v>1858</v>
      </c>
    </row>
    <row r="17" spans="1:30" ht="30" x14ac:dyDescent="0.25">
      <c r="A17" s="21" t="s">
        <v>1054</v>
      </c>
      <c r="B17" s="21" t="s">
        <v>33</v>
      </c>
      <c r="C17" s="21" t="b">
        <f>TRUE()</f>
        <v>1</v>
      </c>
      <c r="D17" s="21" t="s">
        <v>27</v>
      </c>
      <c r="F17" s="21" t="str">
        <f t="shared" si="1"/>
        <v>home.carParkingsAvailableNoVehicleHousehold</v>
      </c>
      <c r="G17" s="21" t="s">
        <v>1055</v>
      </c>
      <c r="H17" s="21" t="s">
        <v>1502</v>
      </c>
      <c r="Q17" s="21" t="s">
        <v>1078</v>
      </c>
      <c r="S17" s="21" t="s">
        <v>36</v>
      </c>
      <c r="Y17" s="21" t="b">
        <f>TRUE()</f>
        <v>1</v>
      </c>
    </row>
    <row r="18" spans="1:30" ht="60" x14ac:dyDescent="0.25">
      <c r="A18" s="21" t="s">
        <v>1064</v>
      </c>
      <c r="B18" s="21" t="s">
        <v>33</v>
      </c>
      <c r="C18" s="21" t="b">
        <f>TRUE()</f>
        <v>1</v>
      </c>
      <c r="D18" s="21" t="s">
        <v>27</v>
      </c>
      <c r="F18" s="21" t="str">
        <f t="shared" si="1"/>
        <v>household.carsharing</v>
      </c>
      <c r="G18" s="21" t="s">
        <v>2184</v>
      </c>
      <c r="H18" s="21" t="s">
        <v>2189</v>
      </c>
      <c r="Q18" s="4" t="s">
        <v>1091</v>
      </c>
      <c r="S18" s="11" t="s">
        <v>128</v>
      </c>
      <c r="Y18" s="21" t="b">
        <f>TRUE()</f>
        <v>1</v>
      </c>
    </row>
    <row r="19" spans="1:30" ht="75" x14ac:dyDescent="0.25">
      <c r="A19" s="21" t="s">
        <v>69</v>
      </c>
      <c r="B19" s="21" t="s">
        <v>64</v>
      </c>
      <c r="C19" s="21" t="b">
        <f>TRUE()</f>
        <v>1</v>
      </c>
      <c r="D19" s="21" t="s">
        <v>27</v>
      </c>
      <c r="F19" s="21" t="str">
        <f t="shared" si="1"/>
        <v>household.bicycleNumber</v>
      </c>
      <c r="G19" s="21" t="s">
        <v>1065</v>
      </c>
      <c r="H19" s="21" t="s">
        <v>1503</v>
      </c>
      <c r="S19" s="21" t="s">
        <v>1048</v>
      </c>
      <c r="Y19" s="21" t="b">
        <f>TRUE()</f>
        <v>1</v>
      </c>
    </row>
    <row r="20" spans="1:30" ht="45" x14ac:dyDescent="0.25">
      <c r="A20" s="21" t="s">
        <v>70</v>
      </c>
      <c r="B20" s="21" t="s">
        <v>2045</v>
      </c>
      <c r="C20" s="21" t="b">
        <f>TRUE()</f>
        <v>1</v>
      </c>
      <c r="D20" s="21" t="s">
        <v>27</v>
      </c>
      <c r="F20" s="21" t="str">
        <f t="shared" si="1"/>
        <v>household.electricBicycleNumber</v>
      </c>
      <c r="G20" s="21" t="s">
        <v>1504</v>
      </c>
      <c r="H20" s="21" t="s">
        <v>71</v>
      </c>
      <c r="O20" s="21" t="s">
        <v>72</v>
      </c>
      <c r="Q20" s="21" t="s">
        <v>73</v>
      </c>
      <c r="S20" s="21" t="s">
        <v>2076</v>
      </c>
      <c r="Y20" s="21" t="b">
        <f>TRUE()</f>
        <v>1</v>
      </c>
      <c r="AD20" s="72" t="s">
        <v>2077</v>
      </c>
    </row>
    <row r="21" spans="1:30" ht="45" x14ac:dyDescent="0.25">
      <c r="A21" s="21" t="s">
        <v>1081</v>
      </c>
      <c r="B21" s="21" t="s">
        <v>33</v>
      </c>
      <c r="D21" s="21" t="s">
        <v>27</v>
      </c>
      <c r="F21" s="21" t="str">
        <f t="shared" si="1"/>
        <v>household.bikesharing</v>
      </c>
      <c r="G21" s="21" t="s">
        <v>1505</v>
      </c>
      <c r="H21" s="21" t="s">
        <v>1514</v>
      </c>
      <c r="Q21" s="4" t="s">
        <v>1091</v>
      </c>
      <c r="S21" s="11" t="s">
        <v>128</v>
      </c>
      <c r="Y21" s="21" t="b">
        <f>TRUE()</f>
        <v>1</v>
      </c>
    </row>
    <row r="22" spans="1:30" s="21" customFormat="1" ht="60" x14ac:dyDescent="0.25">
      <c r="A22" s="21" t="s">
        <v>74</v>
      </c>
      <c r="B22" s="21" t="s">
        <v>33</v>
      </c>
      <c r="C22" s="21" t="b">
        <f>TRUE()</f>
        <v>1</v>
      </c>
      <c r="D22" s="21" t="s">
        <v>27</v>
      </c>
      <c r="F22" s="21" t="str">
        <f t="shared" si="1"/>
        <v>household.atLeastOnePersonWithDisability</v>
      </c>
      <c r="G22" s="21" t="s">
        <v>75</v>
      </c>
      <c r="H22" s="21" t="s">
        <v>76</v>
      </c>
      <c r="Q22" s="21" t="s">
        <v>77</v>
      </c>
      <c r="S22" s="21" t="s">
        <v>78</v>
      </c>
      <c r="T22" s="21" t="s">
        <v>1066</v>
      </c>
      <c r="Y22" s="21" t="b">
        <f>TRUE()</f>
        <v>1</v>
      </c>
    </row>
    <row r="23" spans="1:30" x14ac:dyDescent="0.25">
      <c r="A23" s="21" t="s">
        <v>79</v>
      </c>
      <c r="B23" s="21" t="s">
        <v>80</v>
      </c>
      <c r="C23" s="21" t="b">
        <f>TRUE()</f>
        <v>1</v>
      </c>
      <c r="D23" s="21" t="s">
        <v>27</v>
      </c>
      <c r="F23" s="21" t="str">
        <f t="shared" si="1"/>
        <v>home.save</v>
      </c>
      <c r="G23" s="21" t="s">
        <v>81</v>
      </c>
      <c r="H23" s="21" t="s">
        <v>82</v>
      </c>
    </row>
    <row r="24" spans="1:30" x14ac:dyDescent="0.25">
      <c r="A24" s="21" t="s">
        <v>83</v>
      </c>
      <c r="B24" s="21" t="s">
        <v>56</v>
      </c>
      <c r="C24" s="21" t="b">
        <f>TRUE()</f>
        <v>1</v>
      </c>
      <c r="D24" s="21" t="s">
        <v>84</v>
      </c>
      <c r="Y24" s="21" t="b">
        <f>TRUE()</f>
        <v>1</v>
      </c>
      <c r="AC24" s="21" t="s">
        <v>2107</v>
      </c>
    </row>
    <row r="25" spans="1:30" ht="135" x14ac:dyDescent="0.25">
      <c r="A25" s="21" t="s">
        <v>89</v>
      </c>
      <c r="B25" s="21" t="s">
        <v>26</v>
      </c>
      <c r="C25" s="21" t="b">
        <f>TRUE()</f>
        <v>1</v>
      </c>
      <c r="D25" s="21" t="s">
        <v>84</v>
      </c>
      <c r="E25" s="21" t="s">
        <v>83</v>
      </c>
      <c r="F25" s="21" t="s">
        <v>90</v>
      </c>
      <c r="G25" s="21" t="s">
        <v>2190</v>
      </c>
      <c r="H25" s="21" t="s">
        <v>91</v>
      </c>
      <c r="Q25" s="21" t="s">
        <v>77</v>
      </c>
      <c r="R25" s="21" t="s">
        <v>1068</v>
      </c>
      <c r="Y25" s="21" t="b">
        <f>TRUE()</f>
        <v>1</v>
      </c>
      <c r="AD25" s="61" t="s">
        <v>1860</v>
      </c>
    </row>
    <row r="26" spans="1:30" ht="30" x14ac:dyDescent="0.25">
      <c r="A26" s="21" t="s">
        <v>85</v>
      </c>
      <c r="B26" s="21" t="s">
        <v>86</v>
      </c>
      <c r="C26" s="21" t="b">
        <f>TRUE()</f>
        <v>1</v>
      </c>
      <c r="D26" s="21" t="s">
        <v>84</v>
      </c>
      <c r="E26" s="21" t="s">
        <v>83</v>
      </c>
      <c r="F26" s="21" t="s">
        <v>87</v>
      </c>
      <c r="G26" s="21" t="s">
        <v>1506</v>
      </c>
      <c r="H26" s="21" t="s">
        <v>1507</v>
      </c>
      <c r="R26" s="21" t="s">
        <v>88</v>
      </c>
      <c r="Y26" s="21" t="b">
        <f>TRUE()</f>
        <v>1</v>
      </c>
    </row>
    <row r="27" spans="1:30" ht="45" x14ac:dyDescent="0.25">
      <c r="A27" s="21" t="s">
        <v>98</v>
      </c>
      <c r="B27" s="21" t="s">
        <v>130</v>
      </c>
      <c r="C27" s="21" t="b">
        <f>TRUE()</f>
        <v>1</v>
      </c>
      <c r="D27" s="21" t="s">
        <v>84</v>
      </c>
      <c r="E27" s="21" t="s">
        <v>83</v>
      </c>
      <c r="F27" s="21" t="s">
        <v>99</v>
      </c>
      <c r="G27" s="21" t="s">
        <v>1069</v>
      </c>
      <c r="H27" s="21" t="s">
        <v>1508</v>
      </c>
      <c r="Q27" s="21" t="s">
        <v>96</v>
      </c>
      <c r="S27" s="63" t="s">
        <v>101</v>
      </c>
      <c r="Y27" s="21" t="b">
        <f>TRUE()</f>
        <v>1</v>
      </c>
      <c r="Z27" s="21" t="s">
        <v>1776</v>
      </c>
      <c r="AA27" s="21" t="s">
        <v>102</v>
      </c>
    </row>
    <row r="28" spans="1:30" ht="75" x14ac:dyDescent="0.25">
      <c r="A28" s="21" t="s">
        <v>124</v>
      </c>
      <c r="B28" s="21" t="s">
        <v>33</v>
      </c>
      <c r="C28" s="21" t="b">
        <f>TRUE()</f>
        <v>1</v>
      </c>
      <c r="D28" s="21" t="s">
        <v>84</v>
      </c>
      <c r="E28" s="21" t="s">
        <v>83</v>
      </c>
      <c r="F28" s="21" t="s">
        <v>125</v>
      </c>
      <c r="G28" s="21" t="s">
        <v>126</v>
      </c>
      <c r="H28" s="21" t="s">
        <v>127</v>
      </c>
      <c r="Q28" s="21" t="s">
        <v>111</v>
      </c>
      <c r="S28" s="21" t="s">
        <v>128</v>
      </c>
      <c r="Y28" s="21" t="b">
        <f>TRUE()</f>
        <v>1</v>
      </c>
    </row>
    <row r="29" spans="1:30" ht="45" x14ac:dyDescent="0.25">
      <c r="A29" s="21" t="s">
        <v>1080</v>
      </c>
      <c r="B29" s="21" t="s">
        <v>33</v>
      </c>
      <c r="C29" s="21" t="b">
        <f>TRUE()</f>
        <v>1</v>
      </c>
      <c r="D29" s="21" t="s">
        <v>84</v>
      </c>
      <c r="E29" s="21" t="s">
        <v>83</v>
      </c>
      <c r="F29" s="21" t="s">
        <v>1072</v>
      </c>
      <c r="G29" s="21" t="s">
        <v>1071</v>
      </c>
      <c r="H29" s="21" t="s">
        <v>1513</v>
      </c>
      <c r="Q29" s="4" t="s">
        <v>1092</v>
      </c>
      <c r="S29" s="21" t="s">
        <v>128</v>
      </c>
      <c r="Y29" s="21" t="b">
        <f>TRUE()</f>
        <v>1</v>
      </c>
    </row>
    <row r="30" spans="1:30" ht="30" x14ac:dyDescent="0.25">
      <c r="A30" s="21" t="s">
        <v>1086</v>
      </c>
      <c r="B30" s="21" t="s">
        <v>33</v>
      </c>
      <c r="C30" s="21" t="b">
        <f>TRUE()</f>
        <v>1</v>
      </c>
      <c r="D30" s="21" t="s">
        <v>84</v>
      </c>
      <c r="E30" s="21" t="s">
        <v>83</v>
      </c>
      <c r="F30" s="21" t="s">
        <v>1087</v>
      </c>
      <c r="G30" s="21" t="s">
        <v>1509</v>
      </c>
      <c r="H30" s="21" t="s">
        <v>1512</v>
      </c>
      <c r="Q30" s="4" t="s">
        <v>1093</v>
      </c>
      <c r="S30" s="21" t="s">
        <v>128</v>
      </c>
      <c r="Y30" s="21" t="b">
        <f>TRUE()</f>
        <v>1</v>
      </c>
    </row>
    <row r="31" spans="1:30" ht="30" x14ac:dyDescent="0.25">
      <c r="A31" s="21" t="s">
        <v>1083</v>
      </c>
      <c r="B31" s="21" t="s">
        <v>33</v>
      </c>
      <c r="C31" s="21" t="b">
        <f>TRUE()</f>
        <v>1</v>
      </c>
      <c r="D31" s="21" t="s">
        <v>84</v>
      </c>
      <c r="E31" s="21" t="s">
        <v>83</v>
      </c>
      <c r="F31" s="21" t="s">
        <v>1082</v>
      </c>
      <c r="G31" s="21" t="s">
        <v>1510</v>
      </c>
      <c r="H31" s="21" t="s">
        <v>1511</v>
      </c>
      <c r="Q31" s="4" t="s">
        <v>1094</v>
      </c>
      <c r="S31" s="21" t="s">
        <v>1082</v>
      </c>
      <c r="Y31" s="21" t="b">
        <f>TRUE()</f>
        <v>1</v>
      </c>
    </row>
    <row r="32" spans="1:30" ht="60" x14ac:dyDescent="0.25">
      <c r="A32" t="s">
        <v>1089</v>
      </c>
      <c r="B32" s="21" t="s">
        <v>33</v>
      </c>
      <c r="D32" s="21" t="s">
        <v>84</v>
      </c>
      <c r="E32" s="21" t="s">
        <v>83</v>
      </c>
      <c r="F32" t="s">
        <v>1088</v>
      </c>
      <c r="G32" s="21" t="s">
        <v>2198</v>
      </c>
      <c r="H32" s="43" t="s">
        <v>1732</v>
      </c>
      <c r="Q32" s="21" t="s">
        <v>96</v>
      </c>
      <c r="S32" s="21" t="s">
        <v>128</v>
      </c>
      <c r="Y32" s="21" t="b">
        <f>TRUE()</f>
        <v>1</v>
      </c>
    </row>
    <row r="33" spans="1:30" ht="90" x14ac:dyDescent="0.25">
      <c r="A33" s="21" t="s">
        <v>1098</v>
      </c>
      <c r="B33" s="21" t="s">
        <v>130</v>
      </c>
      <c r="C33" s="21" t="b">
        <f>TRUE()</f>
        <v>1</v>
      </c>
      <c r="D33" s="21" t="s">
        <v>84</v>
      </c>
      <c r="E33" s="21" t="s">
        <v>83</v>
      </c>
      <c r="F33" s="21" t="s">
        <v>581</v>
      </c>
      <c r="G33" s="21" t="s">
        <v>1090</v>
      </c>
      <c r="H33" s="21" t="s">
        <v>1515</v>
      </c>
      <c r="Q33" s="21" t="s">
        <v>1097</v>
      </c>
      <c r="S33" s="21" t="s">
        <v>1096</v>
      </c>
      <c r="Y33" s="21" t="b">
        <f>TRUE()</f>
        <v>1</v>
      </c>
    </row>
    <row r="34" spans="1:30" ht="75" x14ac:dyDescent="0.25">
      <c r="A34" s="21" t="s">
        <v>1099</v>
      </c>
      <c r="B34" s="21" t="s">
        <v>33</v>
      </c>
      <c r="C34" s="21" t="b">
        <f>TRUE()</f>
        <v>1</v>
      </c>
      <c r="D34" s="21" t="s">
        <v>84</v>
      </c>
      <c r="E34" s="21" t="s">
        <v>83</v>
      </c>
      <c r="F34" s="21" t="s">
        <v>1100</v>
      </c>
      <c r="G34" s="21" t="s">
        <v>1129</v>
      </c>
      <c r="H34" s="21" t="s">
        <v>1867</v>
      </c>
      <c r="Q34" s="21" t="s">
        <v>1095</v>
      </c>
      <c r="R34" s="21" t="s">
        <v>1805</v>
      </c>
      <c r="S34" s="21" t="s">
        <v>132</v>
      </c>
      <c r="T34" s="21" t="s">
        <v>1130</v>
      </c>
      <c r="Y34" s="21" t="b">
        <f>TRUE()</f>
        <v>1</v>
      </c>
      <c r="Z34" s="21" t="s">
        <v>1777</v>
      </c>
      <c r="AA34" s="21" t="s">
        <v>115</v>
      </c>
      <c r="AD34" s="61" t="s">
        <v>1861</v>
      </c>
    </row>
    <row r="35" spans="1:30" ht="60" x14ac:dyDescent="0.25">
      <c r="A35" s="21" t="s">
        <v>92</v>
      </c>
      <c r="B35" s="21" t="s">
        <v>33</v>
      </c>
      <c r="C35" s="21" t="b">
        <f>TRUE()</f>
        <v>1</v>
      </c>
      <c r="D35" s="21" t="s">
        <v>84</v>
      </c>
      <c r="E35" s="21" t="s">
        <v>83</v>
      </c>
      <c r="F35" s="21" t="s">
        <v>93</v>
      </c>
      <c r="G35" s="21" t="s">
        <v>2191</v>
      </c>
      <c r="H35" s="21" t="s">
        <v>1868</v>
      </c>
      <c r="I35" s="21" t="s">
        <v>94</v>
      </c>
      <c r="J35" s="21" t="s">
        <v>1872</v>
      </c>
      <c r="Q35" s="21" t="s">
        <v>95</v>
      </c>
      <c r="S35" s="21" t="s">
        <v>78</v>
      </c>
      <c r="Y35" s="21" t="b">
        <f>TRUE()</f>
        <v>1</v>
      </c>
    </row>
    <row r="36" spans="1:30" ht="30" x14ac:dyDescent="0.25">
      <c r="A36" s="21" t="s">
        <v>1133</v>
      </c>
      <c r="B36" s="21" t="s">
        <v>130</v>
      </c>
      <c r="C36" s="21" t="b">
        <f>TRUE()</f>
        <v>1</v>
      </c>
      <c r="D36" s="21" t="s">
        <v>84</v>
      </c>
      <c r="E36" s="21" t="s">
        <v>83</v>
      </c>
      <c r="F36" s="21" t="s">
        <v>1134</v>
      </c>
      <c r="G36" s="21" t="s">
        <v>1146</v>
      </c>
      <c r="H36" s="21" t="s">
        <v>1516</v>
      </c>
      <c r="Q36" s="21" t="s">
        <v>1155</v>
      </c>
      <c r="R36" s="21" t="s">
        <v>1806</v>
      </c>
      <c r="S36" s="21" t="s">
        <v>1134</v>
      </c>
      <c r="Y36" s="21" t="b">
        <f>TRUE()</f>
        <v>1</v>
      </c>
      <c r="Z36" s="21" t="s">
        <v>1778</v>
      </c>
      <c r="AA36" s="21" t="s">
        <v>115</v>
      </c>
      <c r="AD36" s="61" t="s">
        <v>1862</v>
      </c>
    </row>
    <row r="37" spans="1:30" ht="60" x14ac:dyDescent="0.25">
      <c r="A37" s="5" t="s">
        <v>1145</v>
      </c>
      <c r="B37" s="21" t="s">
        <v>130</v>
      </c>
      <c r="C37" s="21" t="b">
        <f>TRUE()</f>
        <v>1</v>
      </c>
      <c r="D37" s="21" t="s">
        <v>84</v>
      </c>
      <c r="E37" s="21" t="s">
        <v>83</v>
      </c>
      <c r="F37" s="21" t="s">
        <v>1144</v>
      </c>
      <c r="G37" s="21" t="s">
        <v>1385</v>
      </c>
      <c r="H37" s="21" t="s">
        <v>1519</v>
      </c>
      <c r="I37" s="21" t="s">
        <v>1749</v>
      </c>
      <c r="J37" s="21" t="s">
        <v>1873</v>
      </c>
      <c r="Q37" s="21" t="s">
        <v>1155</v>
      </c>
      <c r="R37" s="21" t="s">
        <v>1807</v>
      </c>
      <c r="S37" s="21" t="s">
        <v>1144</v>
      </c>
      <c r="Y37" s="21" t="b">
        <f>TRUE()</f>
        <v>1</v>
      </c>
      <c r="Z37" s="21" t="s">
        <v>1779</v>
      </c>
      <c r="AA37" s="21" t="s">
        <v>115</v>
      </c>
      <c r="AD37" s="61" t="s">
        <v>1863</v>
      </c>
    </row>
    <row r="38" spans="1:30" ht="60" x14ac:dyDescent="0.25">
      <c r="A38" s="5" t="s">
        <v>1158</v>
      </c>
      <c r="B38" s="21" t="s">
        <v>2045</v>
      </c>
      <c r="C38" s="21" t="b">
        <f>TRUE()</f>
        <v>1</v>
      </c>
      <c r="D38" s="21" t="s">
        <v>84</v>
      </c>
      <c r="E38" s="21" t="s">
        <v>83</v>
      </c>
      <c r="F38" s="5" t="s">
        <v>1159</v>
      </c>
      <c r="G38" s="21" t="s">
        <v>1157</v>
      </c>
      <c r="H38" s="21" t="s">
        <v>1517</v>
      </c>
      <c r="Q38" s="21" t="s">
        <v>2070</v>
      </c>
      <c r="S38" s="21" t="s">
        <v>2078</v>
      </c>
      <c r="Y38" s="21" t="b">
        <f>TRUE()</f>
        <v>1</v>
      </c>
      <c r="AD38" s="74" t="s">
        <v>2079</v>
      </c>
    </row>
    <row r="39" spans="1:30" ht="60" x14ac:dyDescent="0.25">
      <c r="A39" s="21" t="s">
        <v>1160</v>
      </c>
      <c r="B39" s="21" t="s">
        <v>33</v>
      </c>
      <c r="C39" s="21" t="b">
        <f>TRUE()</f>
        <v>1</v>
      </c>
      <c r="D39" s="21" t="s">
        <v>84</v>
      </c>
      <c r="E39" s="21" t="s">
        <v>83</v>
      </c>
      <c r="F39" s="21" t="s">
        <v>1161</v>
      </c>
      <c r="G39" s="21" t="s">
        <v>1162</v>
      </c>
      <c r="H39" s="21" t="s">
        <v>1518</v>
      </c>
      <c r="I39" s="21" t="s">
        <v>1750</v>
      </c>
      <c r="J39" s="21" t="s">
        <v>1874</v>
      </c>
      <c r="Q39" s="21" t="s">
        <v>1155</v>
      </c>
      <c r="S39" s="21" t="s">
        <v>78</v>
      </c>
      <c r="Y39" s="21" t="b">
        <f>TRUE()</f>
        <v>1</v>
      </c>
    </row>
    <row r="40" spans="1:30" ht="60" x14ac:dyDescent="0.25">
      <c r="A40" s="21" t="s">
        <v>1163</v>
      </c>
      <c r="B40" s="21" t="s">
        <v>33</v>
      </c>
      <c r="C40" s="21" t="b">
        <f>TRUE()</f>
        <v>1</v>
      </c>
      <c r="D40" s="21" t="s">
        <v>84</v>
      </c>
      <c r="E40" s="21" t="s">
        <v>83</v>
      </c>
      <c r="F40" s="21" t="s">
        <v>1165</v>
      </c>
      <c r="G40" s="21" t="s">
        <v>1177</v>
      </c>
      <c r="H40" s="21" t="s">
        <v>1520</v>
      </c>
      <c r="I40" s="21" t="s">
        <v>1751</v>
      </c>
      <c r="J40" s="21" t="s">
        <v>1875</v>
      </c>
      <c r="Q40" s="21" t="s">
        <v>1168</v>
      </c>
      <c r="S40" s="21" t="s">
        <v>1167</v>
      </c>
      <c r="Y40" s="21" t="b">
        <f>TRUE()</f>
        <v>1</v>
      </c>
    </row>
    <row r="41" spans="1:30" ht="105" x14ac:dyDescent="0.25">
      <c r="A41" s="21" t="s">
        <v>1164</v>
      </c>
      <c r="B41" s="21" t="s">
        <v>33</v>
      </c>
      <c r="C41" s="21" t="b">
        <f>TRUE()</f>
        <v>1</v>
      </c>
      <c r="D41" s="21" t="s">
        <v>84</v>
      </c>
      <c r="E41" s="21" t="s">
        <v>83</v>
      </c>
      <c r="F41" s="21" t="s">
        <v>1166</v>
      </c>
      <c r="G41" s="21" t="s">
        <v>2199</v>
      </c>
      <c r="H41" s="21" t="s">
        <v>1521</v>
      </c>
      <c r="I41" s="21" t="s">
        <v>2200</v>
      </c>
      <c r="J41" s="21" t="s">
        <v>1879</v>
      </c>
      <c r="Q41" s="21" t="s">
        <v>1168</v>
      </c>
      <c r="S41" s="21" t="s">
        <v>1175</v>
      </c>
      <c r="Y41" s="21" t="b">
        <f>TRUE()</f>
        <v>1</v>
      </c>
    </row>
    <row r="42" spans="1:30" ht="30" x14ac:dyDescent="0.25">
      <c r="A42" s="21" t="s">
        <v>107</v>
      </c>
      <c r="B42" s="21" t="s">
        <v>33</v>
      </c>
      <c r="C42" s="21" t="b">
        <f>TRUE()</f>
        <v>1</v>
      </c>
      <c r="D42" s="21" t="s">
        <v>84</v>
      </c>
      <c r="E42" s="21" t="s">
        <v>83</v>
      </c>
      <c r="F42" s="21" t="s">
        <v>108</v>
      </c>
      <c r="G42" s="21" t="s">
        <v>109</v>
      </c>
      <c r="H42" s="21" t="s">
        <v>110</v>
      </c>
      <c r="Q42" s="21" t="s">
        <v>111</v>
      </c>
      <c r="S42" s="21" t="s">
        <v>112</v>
      </c>
      <c r="T42" s="21" t="s">
        <v>1183</v>
      </c>
      <c r="Y42" s="21" t="b">
        <f>TRUE()</f>
        <v>1</v>
      </c>
    </row>
    <row r="43" spans="1:30" ht="75" x14ac:dyDescent="0.25">
      <c r="A43" s="21" t="s">
        <v>103</v>
      </c>
      <c r="B43" s="21" t="s">
        <v>33</v>
      </c>
      <c r="C43" s="21" t="b">
        <f>TRUE()</f>
        <v>1</v>
      </c>
      <c r="D43" s="21" t="s">
        <v>84</v>
      </c>
      <c r="E43" s="21" t="s">
        <v>83</v>
      </c>
      <c r="F43" s="21" t="s">
        <v>104</v>
      </c>
      <c r="G43" s="21" t="s">
        <v>1186</v>
      </c>
      <c r="H43" s="21" t="s">
        <v>1522</v>
      </c>
      <c r="Q43" s="21" t="s">
        <v>105</v>
      </c>
      <c r="S43" s="21" t="s">
        <v>106</v>
      </c>
      <c r="T43" s="21" t="s">
        <v>1184</v>
      </c>
      <c r="Y43" s="21" t="b">
        <f>TRUE()</f>
        <v>1</v>
      </c>
    </row>
    <row r="44" spans="1:30" ht="30" x14ac:dyDescent="0.25">
      <c r="A44" s="21" t="s">
        <v>2112</v>
      </c>
      <c r="B44" s="21" t="s">
        <v>33</v>
      </c>
      <c r="D44" s="21" t="s">
        <v>84</v>
      </c>
      <c r="E44" s="21" t="s">
        <v>83</v>
      </c>
      <c r="F44" s="21" t="s">
        <v>1187</v>
      </c>
      <c r="G44" s="21" t="s">
        <v>1196</v>
      </c>
      <c r="H44" s="21" t="s">
        <v>1523</v>
      </c>
      <c r="Q44" s="21" t="s">
        <v>137</v>
      </c>
      <c r="S44" s="21" t="s">
        <v>1188</v>
      </c>
      <c r="Y44" s="21" t="b">
        <f>TRUE()</f>
        <v>1</v>
      </c>
    </row>
    <row r="45" spans="1:30" ht="30" x14ac:dyDescent="0.25">
      <c r="A45" s="21" t="s">
        <v>133</v>
      </c>
      <c r="B45" s="21" t="s">
        <v>33</v>
      </c>
      <c r="C45" s="21" t="b">
        <f>TRUE()</f>
        <v>1</v>
      </c>
      <c r="D45" s="21" t="s">
        <v>84</v>
      </c>
      <c r="E45" s="21" t="s">
        <v>83</v>
      </c>
      <c r="F45" s="21" t="s">
        <v>134</v>
      </c>
      <c r="G45" s="21" t="s">
        <v>135</v>
      </c>
      <c r="H45" s="21" t="s">
        <v>1524</v>
      </c>
      <c r="I45" s="21" t="s">
        <v>136</v>
      </c>
      <c r="J45" s="21" t="s">
        <v>1876</v>
      </c>
      <c r="Q45" s="21" t="s">
        <v>137</v>
      </c>
      <c r="S45" s="21" t="s">
        <v>138</v>
      </c>
      <c r="Y45" s="21" t="b">
        <f>TRUE()</f>
        <v>1</v>
      </c>
    </row>
    <row r="46" spans="1:30" ht="60" x14ac:dyDescent="0.25">
      <c r="A46" s="21" t="s">
        <v>163</v>
      </c>
      <c r="B46" s="21" t="s">
        <v>64</v>
      </c>
      <c r="C46" s="21" t="b">
        <f>TRUE()</f>
        <v>1</v>
      </c>
      <c r="D46" s="21" t="s">
        <v>84</v>
      </c>
      <c r="E46" s="21" t="s">
        <v>83</v>
      </c>
      <c r="F46" s="21" t="s">
        <v>164</v>
      </c>
      <c r="G46" s="21" t="s">
        <v>1733</v>
      </c>
      <c r="H46" s="21" t="s">
        <v>1525</v>
      </c>
      <c r="I46" s="21" t="s">
        <v>1752</v>
      </c>
      <c r="J46" s="21" t="s">
        <v>1877</v>
      </c>
      <c r="O46" s="21" t="s">
        <v>1193</v>
      </c>
      <c r="Q46" s="21" t="s">
        <v>167</v>
      </c>
      <c r="Y46" s="21" t="b">
        <f>TRUE()</f>
        <v>1</v>
      </c>
    </row>
    <row r="47" spans="1:30" ht="75" x14ac:dyDescent="0.25">
      <c r="A47" s="21" t="s">
        <v>165</v>
      </c>
      <c r="B47" s="21" t="s">
        <v>2045</v>
      </c>
      <c r="C47" s="21" t="b">
        <f>TRUE()</f>
        <v>1</v>
      </c>
      <c r="D47" s="21" t="s">
        <v>84</v>
      </c>
      <c r="E47" s="21" t="s">
        <v>83</v>
      </c>
      <c r="F47" s="21" t="s">
        <v>166</v>
      </c>
      <c r="G47" s="21" t="s">
        <v>1734</v>
      </c>
      <c r="H47" s="21" t="s">
        <v>1526</v>
      </c>
      <c r="I47" s="21" t="s">
        <v>1753</v>
      </c>
      <c r="J47" s="21" t="s">
        <v>1880</v>
      </c>
      <c r="O47" s="21" t="s">
        <v>1194</v>
      </c>
      <c r="Q47" s="21" t="s">
        <v>1195</v>
      </c>
      <c r="S47" s="21" t="s">
        <v>2080</v>
      </c>
      <c r="Y47" s="21" t="b">
        <f>TRUE()</f>
        <v>1</v>
      </c>
      <c r="AD47" s="72" t="s">
        <v>2081</v>
      </c>
    </row>
    <row r="48" spans="1:30" ht="60" x14ac:dyDescent="0.25">
      <c r="A48" s="21" t="s">
        <v>121</v>
      </c>
      <c r="B48" s="21" t="s">
        <v>33</v>
      </c>
      <c r="C48" s="21" t="b">
        <f>TRUE()</f>
        <v>1</v>
      </c>
      <c r="D48" s="21" t="s">
        <v>84</v>
      </c>
      <c r="E48" s="21" t="s">
        <v>83</v>
      </c>
      <c r="F48" s="21" t="s">
        <v>122</v>
      </c>
      <c r="G48" s="21" t="s">
        <v>1754</v>
      </c>
      <c r="H48" s="21" t="s">
        <v>1755</v>
      </c>
      <c r="Q48" s="21" t="s">
        <v>137</v>
      </c>
      <c r="S48" s="21" t="s">
        <v>122</v>
      </c>
      <c r="Y48" s="21" t="b">
        <f>TRUE()</f>
        <v>1</v>
      </c>
    </row>
    <row r="49" spans="1:30" ht="30" x14ac:dyDescent="0.25">
      <c r="A49" s="21" t="s">
        <v>116</v>
      </c>
      <c r="B49" s="21" t="s">
        <v>33</v>
      </c>
      <c r="C49" s="21" t="b">
        <f>TRUE()</f>
        <v>1</v>
      </c>
      <c r="D49" s="21" t="s">
        <v>84</v>
      </c>
      <c r="E49" s="21" t="s">
        <v>83</v>
      </c>
      <c r="F49" s="21" t="s">
        <v>117</v>
      </c>
      <c r="G49" s="21" t="s">
        <v>118</v>
      </c>
      <c r="H49" s="21" t="s">
        <v>119</v>
      </c>
      <c r="Q49" s="21" t="s">
        <v>1197</v>
      </c>
      <c r="S49" s="21" t="s">
        <v>116</v>
      </c>
      <c r="Y49" s="21" t="b">
        <f>TRUE()</f>
        <v>1</v>
      </c>
    </row>
    <row r="50" spans="1:30" ht="45" x14ac:dyDescent="0.25">
      <c r="A50" s="21" t="s">
        <v>168</v>
      </c>
      <c r="B50" s="21" t="s">
        <v>80</v>
      </c>
      <c r="C50" s="24" t="b">
        <f>TRUE()</f>
        <v>1</v>
      </c>
      <c r="D50" s="21" t="s">
        <v>84</v>
      </c>
      <c r="F50" s="21" t="str">
        <f>REPLACE(A50, FIND("_", A50), 1, ".")</f>
        <v>household.save</v>
      </c>
      <c r="G50" s="21" t="s">
        <v>81</v>
      </c>
      <c r="H50" s="21" t="s">
        <v>82</v>
      </c>
      <c r="X50" s="45" t="s">
        <v>169</v>
      </c>
    </row>
    <row r="51" spans="1:30" ht="30" x14ac:dyDescent="0.25">
      <c r="A51" s="21" t="s">
        <v>170</v>
      </c>
      <c r="B51" s="21" t="s">
        <v>56</v>
      </c>
      <c r="C51" s="24" t="b">
        <f>TRUE()</f>
        <v>1</v>
      </c>
      <c r="D51" s="21" t="s">
        <v>170</v>
      </c>
      <c r="F51" s="21" t="s">
        <v>171</v>
      </c>
      <c r="G51" s="21" t="s">
        <v>172</v>
      </c>
      <c r="H51" s="21" t="s">
        <v>173</v>
      </c>
      <c r="Q51" s="21" t="s">
        <v>2093</v>
      </c>
      <c r="Y51" s="21" t="b">
        <f>TRUE()</f>
        <v>1</v>
      </c>
    </row>
    <row r="52" spans="1:30" ht="30" x14ac:dyDescent="0.25">
      <c r="A52" s="21" t="s">
        <v>174</v>
      </c>
      <c r="B52" s="21" t="s">
        <v>80</v>
      </c>
      <c r="C52" s="24" t="b">
        <f>TRUE()</f>
        <v>1</v>
      </c>
      <c r="D52" s="21" t="s">
        <v>170</v>
      </c>
      <c r="F52" s="21" t="s">
        <v>174</v>
      </c>
      <c r="G52" s="21" t="s">
        <v>175</v>
      </c>
      <c r="H52" s="21" t="s">
        <v>176</v>
      </c>
      <c r="Q52" s="21" t="s">
        <v>2093</v>
      </c>
    </row>
    <row r="53" spans="1:30" ht="45" x14ac:dyDescent="0.25">
      <c r="A53" s="21" t="s">
        <v>177</v>
      </c>
      <c r="B53" s="21" t="s">
        <v>56</v>
      </c>
      <c r="C53" s="24" t="b">
        <f>TRUE()</f>
        <v>1</v>
      </c>
      <c r="D53" s="21" t="s">
        <v>178</v>
      </c>
      <c r="F53" s="21" t="s">
        <v>177</v>
      </c>
      <c r="G53" s="21" t="s">
        <v>179</v>
      </c>
      <c r="H53" s="21" t="s">
        <v>180</v>
      </c>
      <c r="Q53" s="21" t="s">
        <v>77</v>
      </c>
      <c r="Y53" s="21" t="b">
        <f>TRUE()</f>
        <v>1</v>
      </c>
    </row>
    <row r="54" spans="1:30" ht="30" x14ac:dyDescent="0.25">
      <c r="A54" s="21" t="s">
        <v>181</v>
      </c>
      <c r="B54" s="21" t="s">
        <v>56</v>
      </c>
      <c r="C54" s="24" t="b">
        <f>TRUE()</f>
        <v>1</v>
      </c>
      <c r="D54" s="21" t="s">
        <v>178</v>
      </c>
      <c r="F54" s="21" t="s">
        <v>181</v>
      </c>
      <c r="G54" s="21" t="s">
        <v>182</v>
      </c>
      <c r="H54" s="21" t="s">
        <v>183</v>
      </c>
      <c r="Q54" s="21" t="s">
        <v>2093</v>
      </c>
      <c r="Y54" s="21" t="b">
        <f>TRUE()</f>
        <v>1</v>
      </c>
    </row>
    <row r="55" spans="1:30" ht="195" x14ac:dyDescent="0.25">
      <c r="A55" s="21" t="s">
        <v>184</v>
      </c>
      <c r="B55" s="21" t="s">
        <v>38</v>
      </c>
      <c r="C55" s="24" t="b">
        <f>TRUE()</f>
        <v>1</v>
      </c>
      <c r="D55" s="21" t="s">
        <v>178</v>
      </c>
      <c r="F55" s="21" t="s">
        <v>185</v>
      </c>
      <c r="G55" s="21" t="s">
        <v>1212</v>
      </c>
      <c r="H55" s="21" t="s">
        <v>1006</v>
      </c>
      <c r="Q55" s="21" t="s">
        <v>77</v>
      </c>
      <c r="Y55" s="21" t="b">
        <f>TRUE()</f>
        <v>1</v>
      </c>
    </row>
    <row r="56" spans="1:30" ht="75" x14ac:dyDescent="0.25">
      <c r="A56" s="21" t="s">
        <v>186</v>
      </c>
      <c r="B56" s="21" t="s">
        <v>2045</v>
      </c>
      <c r="C56" s="24" t="b">
        <f>TRUE()</f>
        <v>1</v>
      </c>
      <c r="D56" s="21" t="s">
        <v>178</v>
      </c>
      <c r="F56" s="21" t="s">
        <v>187</v>
      </c>
      <c r="G56" s="21" t="s">
        <v>1527</v>
      </c>
      <c r="H56" s="21" t="s">
        <v>1528</v>
      </c>
      <c r="Q56" s="21" t="s">
        <v>2094</v>
      </c>
      <c r="S56" s="21" t="s">
        <v>2082</v>
      </c>
      <c r="Y56" s="21" t="b">
        <f>TRUE()</f>
        <v>1</v>
      </c>
      <c r="AC56" s="72"/>
      <c r="AD56" s="74" t="s">
        <v>2095</v>
      </c>
    </row>
    <row r="57" spans="1:30" ht="105" x14ac:dyDescent="0.25">
      <c r="A57" s="21" t="s">
        <v>188</v>
      </c>
      <c r="B57" s="21" t="s">
        <v>38</v>
      </c>
      <c r="C57" s="24" t="b">
        <f>TRUE()</f>
        <v>1</v>
      </c>
      <c r="D57" s="21" t="s">
        <v>178</v>
      </c>
      <c r="F57" s="21" t="s">
        <v>188</v>
      </c>
      <c r="G57" s="21" t="s">
        <v>189</v>
      </c>
      <c r="H57" s="21" t="s">
        <v>190</v>
      </c>
      <c r="I57" s="21" t="s">
        <v>191</v>
      </c>
      <c r="J57" s="21" t="s">
        <v>192</v>
      </c>
      <c r="T57" s="21" t="s">
        <v>1213</v>
      </c>
      <c r="Y57" s="21" t="b">
        <f>TRUE()</f>
        <v>1</v>
      </c>
    </row>
    <row r="58" spans="1:30" ht="75" x14ac:dyDescent="0.25">
      <c r="A58" s="21" t="s">
        <v>193</v>
      </c>
      <c r="B58" s="21" t="s">
        <v>33</v>
      </c>
      <c r="C58" s="24" t="b">
        <f>TRUE()</f>
        <v>1</v>
      </c>
      <c r="D58" s="21" t="s">
        <v>178</v>
      </c>
      <c r="F58" s="21" t="s">
        <v>193</v>
      </c>
      <c r="G58" s="21" t="s">
        <v>194</v>
      </c>
      <c r="H58" s="21" t="s">
        <v>1881</v>
      </c>
      <c r="I58" s="21" t="s">
        <v>195</v>
      </c>
      <c r="J58" s="21" t="s">
        <v>1882</v>
      </c>
      <c r="Q58" s="21" t="s">
        <v>1787</v>
      </c>
      <c r="S58" s="33" t="s">
        <v>2096</v>
      </c>
      <c r="Y58" s="21" t="b">
        <f>TRUE()</f>
        <v>1</v>
      </c>
    </row>
    <row r="59" spans="1:30" ht="409.5" x14ac:dyDescent="0.25">
      <c r="A59" s="21" t="s">
        <v>196</v>
      </c>
      <c r="B59" s="21" t="s">
        <v>38</v>
      </c>
      <c r="C59" s="24" t="b">
        <f>TRUE()</f>
        <v>1</v>
      </c>
      <c r="D59" s="21" t="s">
        <v>178</v>
      </c>
      <c r="F59" s="21" t="s">
        <v>197</v>
      </c>
      <c r="G59" s="21" t="s">
        <v>1747</v>
      </c>
      <c r="H59" s="21" t="s">
        <v>1748</v>
      </c>
      <c r="I59" s="21" t="s">
        <v>2043</v>
      </c>
      <c r="J59" s="21" t="s">
        <v>2044</v>
      </c>
      <c r="Y59" s="21" t="b">
        <f>TRUE()</f>
        <v>1</v>
      </c>
    </row>
    <row r="60" spans="1:30" ht="105" x14ac:dyDescent="0.25">
      <c r="A60" s="21" t="s">
        <v>198</v>
      </c>
      <c r="B60" s="21" t="s">
        <v>33</v>
      </c>
      <c r="C60" s="24" t="b">
        <f>TRUE()</f>
        <v>1</v>
      </c>
      <c r="D60" s="21" t="s">
        <v>178</v>
      </c>
      <c r="F60" s="21" t="s">
        <v>199</v>
      </c>
      <c r="G60" s="21" t="s">
        <v>2193</v>
      </c>
      <c r="H60" s="21" t="s">
        <v>200</v>
      </c>
      <c r="I60" s="21" t="s">
        <v>2194</v>
      </c>
      <c r="J60" s="21" t="s">
        <v>201</v>
      </c>
      <c r="S60" s="21" t="s">
        <v>36</v>
      </c>
      <c r="Y60" s="21" t="b">
        <f>TRUE()</f>
        <v>1</v>
      </c>
    </row>
    <row r="61" spans="1:30" ht="45" x14ac:dyDescent="0.25">
      <c r="A61" s="21" t="s">
        <v>202</v>
      </c>
      <c r="B61" s="21" t="s">
        <v>33</v>
      </c>
      <c r="C61" s="24" t="b">
        <f>TRUE()</f>
        <v>1</v>
      </c>
      <c r="D61" s="21" t="s">
        <v>178</v>
      </c>
      <c r="F61" s="21" t="s">
        <v>203</v>
      </c>
      <c r="G61" s="21" t="s">
        <v>204</v>
      </c>
      <c r="H61" s="21" t="s">
        <v>205</v>
      </c>
      <c r="I61" s="21" t="s">
        <v>206</v>
      </c>
      <c r="J61" s="21" t="s">
        <v>207</v>
      </c>
      <c r="Q61" s="4" t="s">
        <v>1215</v>
      </c>
      <c r="S61" s="21" t="s">
        <v>208</v>
      </c>
      <c r="Y61" s="21" t="b">
        <f>TRUE()</f>
        <v>1</v>
      </c>
    </row>
    <row r="62" spans="1:30" ht="45" x14ac:dyDescent="0.25">
      <c r="A62" s="21" t="s">
        <v>1216</v>
      </c>
      <c r="B62" s="21" t="s">
        <v>33</v>
      </c>
      <c r="C62" s="21" t="b">
        <f>TRUE()</f>
        <v>1</v>
      </c>
      <c r="D62" s="21" t="s">
        <v>178</v>
      </c>
      <c r="F62" s="21" t="s">
        <v>1217</v>
      </c>
      <c r="G62" s="21" t="s">
        <v>1218</v>
      </c>
      <c r="H62" s="21" t="s">
        <v>1529</v>
      </c>
      <c r="I62" s="21" t="s">
        <v>1756</v>
      </c>
      <c r="J62" s="21" t="s">
        <v>1883</v>
      </c>
      <c r="Q62" s="21" t="s">
        <v>1219</v>
      </c>
      <c r="S62" s="21" t="s">
        <v>1220</v>
      </c>
      <c r="Y62" s="21" t="b">
        <f>TRUE()</f>
        <v>1</v>
      </c>
      <c r="AC62" s="21" t="s">
        <v>2046</v>
      </c>
      <c r="AD62" s="72" t="s">
        <v>2073</v>
      </c>
    </row>
    <row r="63" spans="1:30" ht="45" x14ac:dyDescent="0.25">
      <c r="A63" s="21" t="s">
        <v>1223</v>
      </c>
      <c r="B63" s="21" t="s">
        <v>2072</v>
      </c>
      <c r="C63" s="21" t="b">
        <f>TRUE()</f>
        <v>1</v>
      </c>
      <c r="D63" s="21" t="s">
        <v>178</v>
      </c>
      <c r="F63" s="21" t="s">
        <v>1224</v>
      </c>
      <c r="G63" s="21" t="s">
        <v>1225</v>
      </c>
      <c r="H63" s="21" t="s">
        <v>1530</v>
      </c>
      <c r="I63" s="21" t="s">
        <v>1757</v>
      </c>
      <c r="J63" s="21" t="s">
        <v>1884</v>
      </c>
      <c r="Q63" s="21" t="s">
        <v>1226</v>
      </c>
      <c r="S63" s="21" t="s">
        <v>2083</v>
      </c>
      <c r="Y63" s="21" t="b">
        <f>TRUE()</f>
        <v>1</v>
      </c>
      <c r="AC63" s="21" t="s">
        <v>2048</v>
      </c>
      <c r="AD63" s="74" t="s">
        <v>2084</v>
      </c>
    </row>
    <row r="64" spans="1:30" x14ac:dyDescent="0.25">
      <c r="A64" s="21" t="s">
        <v>209</v>
      </c>
      <c r="B64" s="21" t="s">
        <v>80</v>
      </c>
      <c r="C64" s="24" t="b">
        <f>TRUE()</f>
        <v>1</v>
      </c>
      <c r="D64" s="21" t="s">
        <v>178</v>
      </c>
      <c r="F64" s="21" t="s">
        <v>210</v>
      </c>
      <c r="G64" s="21" t="s">
        <v>211</v>
      </c>
      <c r="H64" s="21" t="s">
        <v>212</v>
      </c>
    </row>
    <row r="65" spans="1:30" ht="60" x14ac:dyDescent="0.25">
      <c r="A65" s="21" t="s">
        <v>213</v>
      </c>
      <c r="B65" s="21" t="s">
        <v>38</v>
      </c>
      <c r="C65" s="24" t="b">
        <f>TRUE()</f>
        <v>1</v>
      </c>
      <c r="D65" s="21" t="s">
        <v>178</v>
      </c>
      <c r="F65" s="21" t="s">
        <v>213</v>
      </c>
      <c r="G65" s="21" t="s">
        <v>214</v>
      </c>
      <c r="H65" s="21" t="s">
        <v>215</v>
      </c>
      <c r="Y65" s="21" t="b">
        <f>TRUE()</f>
        <v>1</v>
      </c>
    </row>
    <row r="66" spans="1:30" ht="45" x14ac:dyDescent="0.25">
      <c r="A66" s="21" t="s">
        <v>177</v>
      </c>
      <c r="B66" s="21" t="s">
        <v>56</v>
      </c>
      <c r="C66" s="24" t="b">
        <f>TRUE()</f>
        <v>1</v>
      </c>
      <c r="D66" s="21" t="s">
        <v>216</v>
      </c>
      <c r="F66" s="21" t="s">
        <v>177</v>
      </c>
      <c r="G66" s="21" t="s">
        <v>179</v>
      </c>
      <c r="H66" s="21" t="s">
        <v>180</v>
      </c>
      <c r="Q66" s="21" t="s">
        <v>77</v>
      </c>
      <c r="Y66" s="21" t="b">
        <f>TRUE()</f>
        <v>1</v>
      </c>
    </row>
    <row r="67" spans="1:30" ht="30" x14ac:dyDescent="0.25">
      <c r="A67" s="21" t="s">
        <v>181</v>
      </c>
      <c r="B67" s="21" t="s">
        <v>56</v>
      </c>
      <c r="C67" s="24" t="b">
        <f>TRUE()</f>
        <v>1</v>
      </c>
      <c r="D67" s="21" t="s">
        <v>216</v>
      </c>
      <c r="F67" s="21" t="s">
        <v>181</v>
      </c>
      <c r="G67" s="21" t="s">
        <v>182</v>
      </c>
      <c r="H67" s="21" t="s">
        <v>183</v>
      </c>
      <c r="Q67" s="21" t="s">
        <v>2093</v>
      </c>
      <c r="Y67" s="21" t="b">
        <f>TRUE()</f>
        <v>1</v>
      </c>
    </row>
    <row r="68" spans="1:30" ht="45" x14ac:dyDescent="0.25">
      <c r="A68" s="21" t="s">
        <v>217</v>
      </c>
      <c r="B68" s="21" t="s">
        <v>38</v>
      </c>
      <c r="C68" s="21" t="b">
        <f>TRUE()</f>
        <v>1</v>
      </c>
      <c r="D68" s="21" t="s">
        <v>216</v>
      </c>
      <c r="F68" s="21" t="s">
        <v>217</v>
      </c>
      <c r="G68" s="21" t="s">
        <v>218</v>
      </c>
      <c r="H68" s="21" t="s">
        <v>219</v>
      </c>
      <c r="I68" s="21" t="s">
        <v>220</v>
      </c>
      <c r="J68" s="21" t="s">
        <v>221</v>
      </c>
      <c r="Y68" s="21" t="b">
        <f>TRUE()</f>
        <v>1</v>
      </c>
    </row>
    <row r="69" spans="1:30" ht="30" x14ac:dyDescent="0.25">
      <c r="A69" s="21" t="s">
        <v>222</v>
      </c>
      <c r="B69" s="21" t="s">
        <v>56</v>
      </c>
      <c r="C69" s="21" t="b">
        <f>TRUE()</f>
        <v>1</v>
      </c>
      <c r="D69" s="21" t="s">
        <v>216</v>
      </c>
      <c r="F69" s="21" t="s">
        <v>223</v>
      </c>
      <c r="G69" s="21" t="s">
        <v>224</v>
      </c>
      <c r="H69" s="21" t="s">
        <v>225</v>
      </c>
      <c r="I69" s="21" t="s">
        <v>292</v>
      </c>
      <c r="J69" s="21" t="s">
        <v>226</v>
      </c>
      <c r="Y69" s="21" t="b">
        <f>TRUE()</f>
        <v>1</v>
      </c>
    </row>
    <row r="70" spans="1:30" ht="30" x14ac:dyDescent="0.25">
      <c r="A70" s="21" t="s">
        <v>227</v>
      </c>
      <c r="B70" s="21" t="s">
        <v>56</v>
      </c>
      <c r="C70" s="24" t="b">
        <f>TRUE()</f>
        <v>1</v>
      </c>
      <c r="D70" s="21" t="s">
        <v>216</v>
      </c>
      <c r="F70" s="21" t="s">
        <v>228</v>
      </c>
      <c r="Y70" s="21" t="b">
        <f>TRUE()</f>
        <v>1</v>
      </c>
      <c r="AC70" s="21" t="s">
        <v>2107</v>
      </c>
    </row>
    <row r="71" spans="1:30" ht="30" x14ac:dyDescent="0.25">
      <c r="A71" s="21" t="s">
        <v>229</v>
      </c>
      <c r="B71" s="21" t="s">
        <v>56</v>
      </c>
      <c r="C71" s="24" t="b">
        <f>TRUE()</f>
        <v>1</v>
      </c>
      <c r="D71" s="21" t="s">
        <v>216</v>
      </c>
      <c r="E71" s="21" t="s">
        <v>227</v>
      </c>
      <c r="F71" s="21" t="s">
        <v>230</v>
      </c>
      <c r="Y71" s="21" t="b">
        <f>TRUE()</f>
        <v>1</v>
      </c>
      <c r="AD71" s="61" t="s">
        <v>1864</v>
      </c>
    </row>
    <row r="72" spans="1:30" ht="30" x14ac:dyDescent="0.25">
      <c r="A72" s="21" t="s">
        <v>231</v>
      </c>
      <c r="B72" s="21" t="s">
        <v>56</v>
      </c>
      <c r="C72" s="24" t="b">
        <f>TRUE()</f>
        <v>1</v>
      </c>
      <c r="D72" s="21" t="s">
        <v>216</v>
      </c>
      <c r="E72" s="21" t="s">
        <v>227</v>
      </c>
      <c r="F72" s="21" t="s">
        <v>232</v>
      </c>
      <c r="Y72" s="21" t="b">
        <f>TRUE()</f>
        <v>1</v>
      </c>
      <c r="AD72" s="61" t="s">
        <v>1864</v>
      </c>
    </row>
    <row r="73" spans="1:30" ht="30" x14ac:dyDescent="0.25">
      <c r="A73" s="21" t="s">
        <v>233</v>
      </c>
      <c r="B73" s="21" t="s">
        <v>33</v>
      </c>
      <c r="C73" s="24" t="b">
        <f>TRUE()</f>
        <v>1</v>
      </c>
      <c r="D73" s="21" t="s">
        <v>216</v>
      </c>
      <c r="E73" s="21" t="s">
        <v>227</v>
      </c>
      <c r="F73" s="21" t="s">
        <v>234</v>
      </c>
      <c r="G73" s="21" t="s">
        <v>235</v>
      </c>
      <c r="H73" s="21" t="s">
        <v>2042</v>
      </c>
      <c r="I73" s="21" t="s">
        <v>236</v>
      </c>
      <c r="J73" s="67" t="s">
        <v>2041</v>
      </c>
      <c r="Q73" s="21" t="s">
        <v>1230</v>
      </c>
      <c r="S73" s="21" t="s">
        <v>2132</v>
      </c>
      <c r="Y73" s="21" t="b">
        <f>TRUE()</f>
        <v>1</v>
      </c>
      <c r="AC73" s="21" t="s">
        <v>2115</v>
      </c>
    </row>
    <row r="74" spans="1:30" ht="45" x14ac:dyDescent="0.25">
      <c r="A74" s="21" t="s">
        <v>241</v>
      </c>
      <c r="B74" s="21" t="s">
        <v>33</v>
      </c>
      <c r="C74" s="24" t="b">
        <f>TRUE()</f>
        <v>1</v>
      </c>
      <c r="D74" s="21" t="s">
        <v>216</v>
      </c>
      <c r="E74" s="21" t="s">
        <v>227</v>
      </c>
      <c r="F74" s="21" t="s">
        <v>242</v>
      </c>
      <c r="G74" s="21" t="s">
        <v>243</v>
      </c>
      <c r="H74" s="21" t="s">
        <v>244</v>
      </c>
      <c r="I74" s="21" t="s">
        <v>1758</v>
      </c>
      <c r="J74" s="21" t="s">
        <v>1759</v>
      </c>
      <c r="Q74" s="21" t="s">
        <v>245</v>
      </c>
      <c r="S74" s="21" t="s">
        <v>36</v>
      </c>
      <c r="Y74" s="21" t="b">
        <f>TRUE()</f>
        <v>1</v>
      </c>
      <c r="AD74" s="61" t="s">
        <v>1865</v>
      </c>
    </row>
    <row r="75" spans="1:30" ht="30" x14ac:dyDescent="0.25">
      <c r="A75" s="21" t="s">
        <v>246</v>
      </c>
      <c r="B75" s="21" t="s">
        <v>2075</v>
      </c>
      <c r="C75" s="24" t="b">
        <f>TRUE()</f>
        <v>1</v>
      </c>
      <c r="D75" s="21" t="s">
        <v>216</v>
      </c>
      <c r="E75" s="21" t="s">
        <v>227</v>
      </c>
      <c r="F75" s="21" t="s">
        <v>247</v>
      </c>
      <c r="G75" s="21" t="s">
        <v>248</v>
      </c>
      <c r="H75" s="21" t="s">
        <v>249</v>
      </c>
      <c r="Q75" s="21" t="s">
        <v>1788</v>
      </c>
      <c r="S75" s="21" t="s">
        <v>2085</v>
      </c>
      <c r="Y75" s="21" t="b">
        <f>TRUE()</f>
        <v>1</v>
      </c>
      <c r="AD75" s="72" t="s">
        <v>2086</v>
      </c>
    </row>
    <row r="76" spans="1:30" ht="30" x14ac:dyDescent="0.25">
      <c r="A76" s="21" t="s">
        <v>250</v>
      </c>
      <c r="B76" s="21" t="s">
        <v>2097</v>
      </c>
      <c r="C76" s="24" t="b">
        <f>TRUE()</f>
        <v>1</v>
      </c>
      <c r="D76" s="21" t="s">
        <v>216</v>
      </c>
      <c r="E76" s="21" t="s">
        <v>227</v>
      </c>
      <c r="F76" s="21" t="s">
        <v>251</v>
      </c>
      <c r="G76" s="21" t="s">
        <v>2192</v>
      </c>
      <c r="H76" s="21" t="s">
        <v>1531</v>
      </c>
      <c r="Y76" s="21" t="b">
        <f>TRUE()</f>
        <v>1</v>
      </c>
      <c r="AC76" s="21" t="s">
        <v>1866</v>
      </c>
    </row>
    <row r="77" spans="1:30" ht="105" x14ac:dyDescent="0.25">
      <c r="A77" s="21" t="s">
        <v>252</v>
      </c>
      <c r="B77" s="21" t="s">
        <v>2098</v>
      </c>
      <c r="C77" s="24" t="b">
        <f>TRUE()</f>
        <v>1</v>
      </c>
      <c r="D77" s="21" t="s">
        <v>216</v>
      </c>
      <c r="E77" s="21" t="s">
        <v>227</v>
      </c>
      <c r="F77" s="21" t="s">
        <v>253</v>
      </c>
      <c r="G77" s="21" t="s">
        <v>254</v>
      </c>
      <c r="H77" s="21" t="s">
        <v>1535</v>
      </c>
      <c r="Y77" s="21" t="b">
        <f>TRUE()</f>
        <v>1</v>
      </c>
    </row>
    <row r="78" spans="1:30" ht="60" x14ac:dyDescent="0.25">
      <c r="A78" s="21" t="s">
        <v>255</v>
      </c>
      <c r="B78" s="21" t="s">
        <v>2075</v>
      </c>
      <c r="C78" s="24" t="b">
        <f>TRUE()</f>
        <v>1</v>
      </c>
      <c r="D78" s="21" t="s">
        <v>216</v>
      </c>
      <c r="E78" s="21" t="s">
        <v>227</v>
      </c>
      <c r="F78" s="21" t="s">
        <v>2113</v>
      </c>
      <c r="G78" s="21" t="s">
        <v>2114</v>
      </c>
      <c r="S78" s="21" t="s">
        <v>2116</v>
      </c>
      <c r="Y78" s="21" t="b">
        <f>TRUE()</f>
        <v>1</v>
      </c>
      <c r="AC78" s="68" t="s">
        <v>2117</v>
      </c>
    </row>
    <row r="79" spans="1:30" ht="30" x14ac:dyDescent="0.25">
      <c r="A79" s="21" t="s">
        <v>256</v>
      </c>
      <c r="B79" s="21" t="s">
        <v>2075</v>
      </c>
      <c r="C79" s="24" t="b">
        <f>TRUE()</f>
        <v>1</v>
      </c>
      <c r="D79" s="21" t="s">
        <v>216</v>
      </c>
      <c r="E79" s="21" t="s">
        <v>227</v>
      </c>
      <c r="F79" s="21" t="s">
        <v>257</v>
      </c>
      <c r="G79" s="21" t="s">
        <v>1241</v>
      </c>
      <c r="H79" s="21" t="s">
        <v>258</v>
      </c>
      <c r="I79" s="21" t="s">
        <v>259</v>
      </c>
      <c r="J79" s="21" t="s">
        <v>260</v>
      </c>
      <c r="S79" s="21" t="s">
        <v>2116</v>
      </c>
      <c r="Y79" s="21" t="b">
        <f>TRUE()</f>
        <v>1</v>
      </c>
    </row>
    <row r="80" spans="1:30" ht="105" x14ac:dyDescent="0.25">
      <c r="A80" s="21" t="s">
        <v>261</v>
      </c>
      <c r="B80" s="21" t="s">
        <v>33</v>
      </c>
      <c r="C80" s="24" t="b">
        <f>TRUE()</f>
        <v>1</v>
      </c>
      <c r="D80" s="21" t="s">
        <v>216</v>
      </c>
      <c r="E80" s="21" t="s">
        <v>227</v>
      </c>
      <c r="F80" s="21" t="s">
        <v>262</v>
      </c>
      <c r="G80" s="21" t="s">
        <v>263</v>
      </c>
      <c r="H80" s="21" t="s">
        <v>264</v>
      </c>
      <c r="I80" s="21" t="s">
        <v>265</v>
      </c>
      <c r="J80" s="21" t="s">
        <v>266</v>
      </c>
      <c r="S80" s="21" t="s">
        <v>2124</v>
      </c>
      <c r="Y80" s="21" t="b">
        <f>TRUE()</f>
        <v>1</v>
      </c>
    </row>
    <row r="81" spans="1:29" ht="30" x14ac:dyDescent="0.25">
      <c r="A81" s="21" t="s">
        <v>267</v>
      </c>
      <c r="B81" s="21" t="s">
        <v>2075</v>
      </c>
      <c r="C81" s="24" t="b">
        <f>TRUE()</f>
        <v>1</v>
      </c>
      <c r="D81" s="21" t="s">
        <v>216</v>
      </c>
      <c r="E81" s="21" t="s">
        <v>227</v>
      </c>
      <c r="F81" s="21" t="s">
        <v>268</v>
      </c>
      <c r="G81" s="21" t="s">
        <v>269</v>
      </c>
      <c r="H81" s="21" t="s">
        <v>270</v>
      </c>
      <c r="I81" s="21" t="s">
        <v>271</v>
      </c>
      <c r="J81" s="21" t="s">
        <v>272</v>
      </c>
      <c r="S81" s="21" t="s">
        <v>2116</v>
      </c>
      <c r="Y81" s="21" t="b">
        <f>TRUE()</f>
        <v>1</v>
      </c>
    </row>
    <row r="82" spans="1:29" ht="75" x14ac:dyDescent="0.25">
      <c r="A82" s="21" t="s">
        <v>1234</v>
      </c>
      <c r="B82" s="21" t="s">
        <v>2075</v>
      </c>
      <c r="C82" s="21" t="b">
        <f>TRUE()</f>
        <v>1</v>
      </c>
      <c r="D82" s="21" t="s">
        <v>216</v>
      </c>
      <c r="E82" s="21" t="s">
        <v>227</v>
      </c>
      <c r="F82" s="21" t="s">
        <v>2100</v>
      </c>
      <c r="G82" s="21" t="s">
        <v>1232</v>
      </c>
      <c r="H82" s="21" t="s">
        <v>1532</v>
      </c>
      <c r="I82" s="21" t="s">
        <v>1896</v>
      </c>
      <c r="J82" s="21" t="s">
        <v>1900</v>
      </c>
      <c r="Q82" s="21" t="s">
        <v>1236</v>
      </c>
      <c r="S82" s="21" t="s">
        <v>2116</v>
      </c>
      <c r="Y82" s="21" t="b">
        <f>TRUE()</f>
        <v>1</v>
      </c>
      <c r="AC82" s="21" t="s">
        <v>2115</v>
      </c>
    </row>
    <row r="83" spans="1:29" ht="30" x14ac:dyDescent="0.25">
      <c r="A83" s="21" t="s">
        <v>1235</v>
      </c>
      <c r="B83" s="21" t="s">
        <v>2075</v>
      </c>
      <c r="C83" s="21" t="b">
        <f>TRUE()</f>
        <v>1</v>
      </c>
      <c r="D83" s="21" t="s">
        <v>216</v>
      </c>
      <c r="E83" s="21" t="s">
        <v>227</v>
      </c>
      <c r="F83" s="21" t="s">
        <v>2101</v>
      </c>
      <c r="G83" s="21" t="s">
        <v>1233</v>
      </c>
      <c r="H83" s="21" t="s">
        <v>1533</v>
      </c>
      <c r="I83" s="21" t="s">
        <v>1760</v>
      </c>
      <c r="J83" s="21" t="s">
        <v>1901</v>
      </c>
      <c r="Q83" s="21" t="s">
        <v>1230</v>
      </c>
      <c r="S83" s="21" t="s">
        <v>2116</v>
      </c>
      <c r="Y83" s="21" t="b">
        <f>TRUE()</f>
        <v>1</v>
      </c>
    </row>
    <row r="84" spans="1:29" ht="45" x14ac:dyDescent="0.25">
      <c r="A84" s="21" t="s">
        <v>237</v>
      </c>
      <c r="B84" s="21" t="s">
        <v>33</v>
      </c>
      <c r="C84" s="24" t="b">
        <f>TRUE()</f>
        <v>1</v>
      </c>
      <c r="D84" s="21" t="s">
        <v>216</v>
      </c>
      <c r="E84" s="21" t="s">
        <v>227</v>
      </c>
      <c r="F84" s="21" t="s">
        <v>238</v>
      </c>
      <c r="G84" s="21" t="s">
        <v>239</v>
      </c>
      <c r="H84" s="21" t="s">
        <v>1904</v>
      </c>
      <c r="I84" s="21" t="s">
        <v>240</v>
      </c>
      <c r="J84" s="21" t="s">
        <v>1906</v>
      </c>
      <c r="Q84" s="21" t="s">
        <v>1230</v>
      </c>
      <c r="S84" s="21" t="s">
        <v>636</v>
      </c>
      <c r="Y84" s="21" t="b">
        <f>TRUE()</f>
        <v>1</v>
      </c>
      <c r="AC84" s="21" t="s">
        <v>2115</v>
      </c>
    </row>
    <row r="85" spans="1:29" ht="30" x14ac:dyDescent="0.25">
      <c r="A85" s="21" t="s">
        <v>1238</v>
      </c>
      <c r="B85" s="21" t="s">
        <v>2075</v>
      </c>
      <c r="C85" s="24" t="b">
        <f>TRUE()</f>
        <v>1</v>
      </c>
      <c r="D85" s="21" t="s">
        <v>216</v>
      </c>
      <c r="E85" s="21" t="s">
        <v>227</v>
      </c>
      <c r="F85" s="21" t="s">
        <v>1239</v>
      </c>
      <c r="G85" s="21" t="s">
        <v>1240</v>
      </c>
      <c r="H85" s="21" t="s">
        <v>1534</v>
      </c>
      <c r="I85" s="21" t="s">
        <v>1761</v>
      </c>
      <c r="J85" s="21" t="s">
        <v>1907</v>
      </c>
      <c r="Q85" s="21" t="s">
        <v>2175</v>
      </c>
      <c r="S85" s="21" t="s">
        <v>2116</v>
      </c>
      <c r="Y85" s="21" t="b">
        <f>TRUE()</f>
        <v>1</v>
      </c>
    </row>
    <row r="86" spans="1:29" ht="30" x14ac:dyDescent="0.25">
      <c r="A86" s="21" t="s">
        <v>2118</v>
      </c>
      <c r="B86" s="21" t="s">
        <v>2075</v>
      </c>
      <c r="C86" s="21" t="b">
        <f>TRUE()</f>
        <v>1</v>
      </c>
      <c r="D86" s="21" t="s">
        <v>216</v>
      </c>
      <c r="E86" s="21" t="s">
        <v>227</v>
      </c>
      <c r="F86" s="21" t="s">
        <v>2120</v>
      </c>
      <c r="G86" s="21" t="s">
        <v>2122</v>
      </c>
      <c r="H86" s="21" t="s">
        <v>1533</v>
      </c>
      <c r="I86" s="21" t="s">
        <v>1760</v>
      </c>
      <c r="J86" s="21" t="s">
        <v>1901</v>
      </c>
      <c r="Q86" s="21" t="s">
        <v>1614</v>
      </c>
      <c r="S86" s="21" t="s">
        <v>2116</v>
      </c>
      <c r="Y86" s="21" t="b">
        <f>TRUE()</f>
        <v>1</v>
      </c>
    </row>
    <row r="87" spans="1:29" ht="30" x14ac:dyDescent="0.25">
      <c r="A87" s="21" t="s">
        <v>2119</v>
      </c>
      <c r="B87" s="21" t="s">
        <v>2075</v>
      </c>
      <c r="C87" s="24" t="b">
        <f>TRUE()</f>
        <v>1</v>
      </c>
      <c r="D87" s="21" t="s">
        <v>216</v>
      </c>
      <c r="E87" s="21" t="s">
        <v>227</v>
      </c>
      <c r="F87" s="21" t="s">
        <v>2121</v>
      </c>
      <c r="G87" s="21" t="s">
        <v>2123</v>
      </c>
      <c r="H87" s="21" t="s">
        <v>1534</v>
      </c>
      <c r="I87" s="21" t="s">
        <v>1761</v>
      </c>
      <c r="J87" s="21" t="s">
        <v>1907</v>
      </c>
      <c r="Q87" s="21" t="s">
        <v>1614</v>
      </c>
      <c r="S87" s="21" t="s">
        <v>2116</v>
      </c>
      <c r="Y87" s="21" t="b">
        <f>TRUE()</f>
        <v>1</v>
      </c>
    </row>
    <row r="88" spans="1:29" ht="30" x14ac:dyDescent="0.25">
      <c r="A88" s="21" t="s">
        <v>273</v>
      </c>
      <c r="B88" s="21" t="s">
        <v>2099</v>
      </c>
      <c r="C88" s="24" t="b">
        <f>TRUE()</f>
        <v>1</v>
      </c>
      <c r="D88" s="21" t="s">
        <v>216</v>
      </c>
      <c r="E88" s="21" t="s">
        <v>227</v>
      </c>
      <c r="F88" s="21" t="s">
        <v>274</v>
      </c>
      <c r="G88" s="21" t="s">
        <v>275</v>
      </c>
      <c r="H88" s="21" t="s">
        <v>276</v>
      </c>
      <c r="Y88" s="21" t="b">
        <f>TRUE()</f>
        <v>1</v>
      </c>
    </row>
    <row r="89" spans="1:29" ht="30" x14ac:dyDescent="0.25">
      <c r="A89" s="21" t="s">
        <v>277</v>
      </c>
      <c r="B89" s="21" t="s">
        <v>56</v>
      </c>
      <c r="C89" s="24" t="b">
        <f>TRUE()</f>
        <v>1</v>
      </c>
      <c r="D89" s="21" t="s">
        <v>216</v>
      </c>
      <c r="E89" s="21" t="s">
        <v>227</v>
      </c>
      <c r="Y89" s="21" t="b">
        <f>TRUE()</f>
        <v>1</v>
      </c>
    </row>
    <row r="90" spans="1:29" ht="30" x14ac:dyDescent="0.25">
      <c r="A90" s="21" t="s">
        <v>278</v>
      </c>
      <c r="B90" s="21" t="s">
        <v>56</v>
      </c>
      <c r="C90" s="24" t="b">
        <f>TRUE()</f>
        <v>1</v>
      </c>
      <c r="D90" s="21" t="s">
        <v>216</v>
      </c>
      <c r="E90" s="21" t="s">
        <v>227</v>
      </c>
      <c r="Y90" s="21" t="b">
        <f>TRUE()</f>
        <v>1</v>
      </c>
    </row>
    <row r="91" spans="1:29" ht="60" x14ac:dyDescent="0.25">
      <c r="A91" s="21" t="s">
        <v>279</v>
      </c>
      <c r="B91" s="21" t="s">
        <v>80</v>
      </c>
      <c r="C91" s="24" t="b">
        <f>TRUE()</f>
        <v>1</v>
      </c>
      <c r="D91" s="21" t="s">
        <v>216</v>
      </c>
      <c r="F91" s="21" t="s">
        <v>280</v>
      </c>
      <c r="G91" s="21" t="s">
        <v>281</v>
      </c>
      <c r="H91" s="21" t="s">
        <v>282</v>
      </c>
      <c r="Q91" s="21" t="s">
        <v>283</v>
      </c>
      <c r="Y91" s="21" t="b">
        <f>TRUE()</f>
        <v>1</v>
      </c>
      <c r="AC91" s="45" t="s">
        <v>2178</v>
      </c>
    </row>
    <row r="92" spans="1:29" x14ac:dyDescent="0.25">
      <c r="A92" s="21" t="s">
        <v>177</v>
      </c>
      <c r="B92" s="21" t="s">
        <v>56</v>
      </c>
      <c r="C92" s="24" t="b">
        <f>TRUE()</f>
        <v>1</v>
      </c>
      <c r="D92" s="21" t="s">
        <v>284</v>
      </c>
      <c r="Y92" s="21" t="b">
        <f>TRUE()</f>
        <v>1</v>
      </c>
    </row>
    <row r="93" spans="1:29" ht="30" x14ac:dyDescent="0.25">
      <c r="A93" s="21" t="s">
        <v>181</v>
      </c>
      <c r="B93" s="21" t="s">
        <v>56</v>
      </c>
      <c r="C93" s="24" t="b">
        <f>TRUE()</f>
        <v>1</v>
      </c>
      <c r="D93" s="21" t="s">
        <v>284</v>
      </c>
      <c r="F93" s="21" t="s">
        <v>181</v>
      </c>
      <c r="G93" s="21" t="s">
        <v>182</v>
      </c>
      <c r="H93" s="21" t="s">
        <v>183</v>
      </c>
      <c r="Q93" s="21" t="s">
        <v>2093</v>
      </c>
      <c r="Y93" s="21" t="b">
        <f>TRUE()</f>
        <v>1</v>
      </c>
    </row>
    <row r="94" spans="1:29" ht="30" x14ac:dyDescent="0.25">
      <c r="A94" s="21" t="s">
        <v>285</v>
      </c>
      <c r="B94" s="21" t="s">
        <v>56</v>
      </c>
      <c r="C94" s="21" t="b">
        <f>TRUE()</f>
        <v>1</v>
      </c>
      <c r="D94" s="21" t="s">
        <v>284</v>
      </c>
      <c r="F94" s="21" t="s">
        <v>286</v>
      </c>
      <c r="G94" s="21" t="s">
        <v>287</v>
      </c>
      <c r="H94" s="21" t="s">
        <v>288</v>
      </c>
      <c r="I94" s="21" t="s">
        <v>289</v>
      </c>
      <c r="J94" s="21" t="s">
        <v>290</v>
      </c>
      <c r="Y94" s="21" t="b">
        <f>TRUE()</f>
        <v>1</v>
      </c>
    </row>
    <row r="95" spans="1:29" ht="30" x14ac:dyDescent="0.25">
      <c r="A95" s="21" t="s">
        <v>222</v>
      </c>
      <c r="B95" s="21" t="s">
        <v>56</v>
      </c>
      <c r="C95" s="21" t="b">
        <f>TRUE()</f>
        <v>1</v>
      </c>
      <c r="D95" s="21" t="s">
        <v>284</v>
      </c>
      <c r="F95" s="21" t="s">
        <v>291</v>
      </c>
      <c r="G95" s="21" t="s">
        <v>224</v>
      </c>
      <c r="H95" s="21" t="s">
        <v>225</v>
      </c>
      <c r="I95" s="21" t="s">
        <v>292</v>
      </c>
      <c r="J95" s="21" t="s">
        <v>226</v>
      </c>
      <c r="Y95" s="21" t="b">
        <f>TRUE()</f>
        <v>1</v>
      </c>
    </row>
    <row r="96" spans="1:29" ht="30" x14ac:dyDescent="0.25">
      <c r="A96" s="21" t="s">
        <v>293</v>
      </c>
      <c r="B96" s="21" t="s">
        <v>56</v>
      </c>
      <c r="C96" s="24" t="b">
        <f>TRUE()</f>
        <v>1</v>
      </c>
      <c r="D96" s="21" t="s">
        <v>284</v>
      </c>
      <c r="F96" s="21" t="s">
        <v>294</v>
      </c>
      <c r="Y96" s="21" t="b">
        <f>TRUE()</f>
        <v>1</v>
      </c>
      <c r="AC96" s="21" t="s">
        <v>2107</v>
      </c>
    </row>
    <row r="97" spans="1:30" ht="60" x14ac:dyDescent="0.25">
      <c r="A97" s="21" t="s">
        <v>295</v>
      </c>
      <c r="B97" s="21" t="s">
        <v>38</v>
      </c>
      <c r="C97" s="24" t="b">
        <f>TRUE()</f>
        <v>1</v>
      </c>
      <c r="D97" s="21" t="s">
        <v>284</v>
      </c>
      <c r="E97" s="21" t="s">
        <v>293</v>
      </c>
      <c r="F97" s="21" t="s">
        <v>296</v>
      </c>
      <c r="G97" s="21" t="s">
        <v>297</v>
      </c>
      <c r="H97" s="21" t="s">
        <v>1911</v>
      </c>
      <c r="Y97" s="21" t="b">
        <f>TRUE()</f>
        <v>1</v>
      </c>
    </row>
    <row r="98" spans="1:30" x14ac:dyDescent="0.25">
      <c r="A98" s="21" t="s">
        <v>284</v>
      </c>
      <c r="B98" s="21" t="s">
        <v>56</v>
      </c>
      <c r="C98" s="24" t="b">
        <f>TRUE()</f>
        <v>1</v>
      </c>
      <c r="D98" s="21" t="s">
        <v>284</v>
      </c>
      <c r="E98" s="21" t="s">
        <v>293</v>
      </c>
      <c r="F98" s="21" t="s">
        <v>284</v>
      </c>
      <c r="G98" s="21" t="s">
        <v>298</v>
      </c>
      <c r="H98" s="21" t="s">
        <v>1909</v>
      </c>
      <c r="Y98" s="21" t="b">
        <f>TRUE()</f>
        <v>1</v>
      </c>
    </row>
    <row r="99" spans="1:30" ht="45" x14ac:dyDescent="0.25">
      <c r="A99" s="21" t="s">
        <v>1634</v>
      </c>
      <c r="B99" s="21" t="s">
        <v>33</v>
      </c>
      <c r="C99" s="24" t="b">
        <f>TRUE()</f>
        <v>1</v>
      </c>
      <c r="D99" s="21" t="s">
        <v>284</v>
      </c>
      <c r="E99" s="21" t="s">
        <v>284</v>
      </c>
      <c r="F99" s="21" t="s">
        <v>1635</v>
      </c>
      <c r="G99" s="21" t="s">
        <v>2172</v>
      </c>
      <c r="H99" s="21" t="s">
        <v>2173</v>
      </c>
      <c r="Q99" s="21" t="s">
        <v>1636</v>
      </c>
      <c r="S99" s="21" t="s">
        <v>36</v>
      </c>
      <c r="Y99" s="21" t="b">
        <f>TRUE()</f>
        <v>1</v>
      </c>
      <c r="AC99" s="68" t="s">
        <v>2102</v>
      </c>
      <c r="AD99" s="69" t="s">
        <v>2074</v>
      </c>
    </row>
    <row r="100" spans="1:30" x14ac:dyDescent="0.25">
      <c r="A100" s="21" t="s">
        <v>299</v>
      </c>
      <c r="B100" s="21" t="s">
        <v>56</v>
      </c>
      <c r="C100" s="24" t="b">
        <f>TRUE()</f>
        <v>1</v>
      </c>
      <c r="D100" s="21" t="s">
        <v>284</v>
      </c>
      <c r="E100" s="21" t="s">
        <v>284</v>
      </c>
      <c r="F100" s="21" t="s">
        <v>300</v>
      </c>
      <c r="Y100" s="21" t="b">
        <f>TRUE()</f>
        <v>1</v>
      </c>
      <c r="AC100" s="21" t="s">
        <v>2107</v>
      </c>
    </row>
    <row r="101" spans="1:30" x14ac:dyDescent="0.25">
      <c r="A101" s="21" t="s">
        <v>301</v>
      </c>
      <c r="B101" s="21" t="s">
        <v>56</v>
      </c>
      <c r="C101" s="24" t="b">
        <f>TRUE()</f>
        <v>1</v>
      </c>
      <c r="D101" s="21" t="s">
        <v>284</v>
      </c>
      <c r="E101" s="21" t="s">
        <v>284</v>
      </c>
      <c r="F101" s="21" t="s">
        <v>302</v>
      </c>
      <c r="Y101" s="21" t="b">
        <f>TRUE()</f>
        <v>1</v>
      </c>
      <c r="AD101" s="61" t="s">
        <v>1869</v>
      </c>
    </row>
    <row r="102" spans="1:30" ht="30" x14ac:dyDescent="0.25">
      <c r="A102" s="21" t="s">
        <v>752</v>
      </c>
      <c r="B102" s="21" t="s">
        <v>38</v>
      </c>
      <c r="C102" s="21" t="b">
        <f>TRUE()</f>
        <v>1</v>
      </c>
      <c r="D102" s="21" t="s">
        <v>284</v>
      </c>
      <c r="E102" s="21" t="s">
        <v>293</v>
      </c>
      <c r="F102" s="21" t="s">
        <v>752</v>
      </c>
      <c r="G102" s="21" t="s">
        <v>1613</v>
      </c>
      <c r="H102" s="21" t="s">
        <v>1912</v>
      </c>
      <c r="Q102" s="4" t="s">
        <v>1230</v>
      </c>
      <c r="S102" s="21" t="s">
        <v>1615</v>
      </c>
      <c r="Y102" s="21" t="b">
        <f>TRUE()</f>
        <v>1</v>
      </c>
    </row>
    <row r="103" spans="1:30" ht="30" x14ac:dyDescent="0.25">
      <c r="A103" s="21" t="s">
        <v>1637</v>
      </c>
      <c r="B103" s="21" t="s">
        <v>33</v>
      </c>
      <c r="C103" s="21" t="b">
        <f>TRUE()</f>
        <v>1</v>
      </c>
      <c r="D103" s="21" t="s">
        <v>284</v>
      </c>
      <c r="E103" s="21" t="s">
        <v>293</v>
      </c>
      <c r="F103" s="21" t="s">
        <v>1768</v>
      </c>
      <c r="G103" s="21" t="s">
        <v>1612</v>
      </c>
      <c r="H103" s="21" t="s">
        <v>1915</v>
      </c>
      <c r="Q103" s="4" t="s">
        <v>1230</v>
      </c>
      <c r="S103" s="21" t="s">
        <v>1615</v>
      </c>
      <c r="Y103" s="21" t="b">
        <f>TRUE()</f>
        <v>1</v>
      </c>
    </row>
    <row r="104" spans="1:30" ht="30" x14ac:dyDescent="0.25">
      <c r="A104" s="21" t="s">
        <v>753</v>
      </c>
      <c r="B104" s="21" t="s">
        <v>38</v>
      </c>
      <c r="C104" s="21" t="b">
        <f>TRUE()</f>
        <v>1</v>
      </c>
      <c r="D104" s="21" t="s">
        <v>284</v>
      </c>
      <c r="E104" s="21" t="s">
        <v>293</v>
      </c>
      <c r="F104" s="21" t="s">
        <v>753</v>
      </c>
      <c r="G104" s="21" t="s">
        <v>1632</v>
      </c>
      <c r="H104" s="21" t="s">
        <v>1916</v>
      </c>
      <c r="Q104" s="21" t="s">
        <v>1614</v>
      </c>
      <c r="S104" s="21" t="s">
        <v>1616</v>
      </c>
      <c r="Y104" s="21" t="b">
        <f>TRUE()</f>
        <v>1</v>
      </c>
    </row>
    <row r="105" spans="1:30" ht="30" x14ac:dyDescent="0.25">
      <c r="A105" s="21" t="s">
        <v>1638</v>
      </c>
      <c r="B105" s="21" t="s">
        <v>33</v>
      </c>
      <c r="C105" s="21" t="b">
        <f>TRUE()</f>
        <v>1</v>
      </c>
      <c r="D105" s="21" t="s">
        <v>284</v>
      </c>
      <c r="E105" s="21" t="s">
        <v>293</v>
      </c>
      <c r="F105" s="21" t="s">
        <v>1617</v>
      </c>
      <c r="G105" s="21" t="s">
        <v>1633</v>
      </c>
      <c r="H105" s="21" t="s">
        <v>1918</v>
      </c>
      <c r="Q105" s="21" t="s">
        <v>1614</v>
      </c>
      <c r="S105" s="21" t="s">
        <v>1616</v>
      </c>
      <c r="Y105" s="21" t="b">
        <f>TRUE()</f>
        <v>1</v>
      </c>
    </row>
    <row r="106" spans="1:30" ht="30" x14ac:dyDescent="0.25">
      <c r="A106" s="21" t="s">
        <v>303</v>
      </c>
      <c r="B106" s="21" t="s">
        <v>33</v>
      </c>
      <c r="C106" s="24" t="b">
        <f>TRUE()</f>
        <v>1</v>
      </c>
      <c r="D106" s="21" t="s">
        <v>284</v>
      </c>
      <c r="E106" s="21" t="s">
        <v>284</v>
      </c>
      <c r="F106" s="21" t="s">
        <v>304</v>
      </c>
      <c r="G106" s="21" t="s">
        <v>305</v>
      </c>
      <c r="H106" s="21" t="s">
        <v>306</v>
      </c>
      <c r="Q106" s="21" t="s">
        <v>1639</v>
      </c>
      <c r="S106" s="21" t="s">
        <v>1640</v>
      </c>
      <c r="Y106" s="21" t="b">
        <f>TRUE()</f>
        <v>1</v>
      </c>
      <c r="AD106" s="61" t="s">
        <v>1870</v>
      </c>
    </row>
    <row r="107" spans="1:30" ht="75" x14ac:dyDescent="0.25">
      <c r="A107" s="21" t="s">
        <v>307</v>
      </c>
      <c r="B107" s="21" t="s">
        <v>64</v>
      </c>
      <c r="C107" s="24" t="b">
        <f>TRUE()</f>
        <v>1</v>
      </c>
      <c r="D107" s="21" t="s">
        <v>284</v>
      </c>
      <c r="E107" s="21" t="s">
        <v>284</v>
      </c>
      <c r="F107" s="21" t="s">
        <v>308</v>
      </c>
      <c r="G107" s="21" t="s">
        <v>2133</v>
      </c>
      <c r="H107" s="21" t="s">
        <v>2134</v>
      </c>
      <c r="O107" s="21" t="s">
        <v>309</v>
      </c>
      <c r="Q107" s="21" t="s">
        <v>310</v>
      </c>
      <c r="Y107" s="21" t="b">
        <f>TRUE()</f>
        <v>1</v>
      </c>
      <c r="AC107" s="21" t="s">
        <v>1871</v>
      </c>
    </row>
    <row r="108" spans="1:30" ht="30" x14ac:dyDescent="0.25">
      <c r="A108" s="21" t="s">
        <v>311</v>
      </c>
      <c r="B108" s="21" t="s">
        <v>2075</v>
      </c>
      <c r="C108" s="24" t="b">
        <f>TRUE()</f>
        <v>1</v>
      </c>
      <c r="D108" s="21" t="s">
        <v>284</v>
      </c>
      <c r="E108" s="21" t="s">
        <v>284</v>
      </c>
      <c r="F108" s="21" t="s">
        <v>312</v>
      </c>
      <c r="G108" s="21" t="s">
        <v>313</v>
      </c>
      <c r="H108" s="21" t="s">
        <v>314</v>
      </c>
      <c r="Q108" s="21" t="s">
        <v>1790</v>
      </c>
      <c r="S108" s="21" t="s">
        <v>1889</v>
      </c>
      <c r="Y108" s="21" t="b">
        <f>TRUE()</f>
        <v>1</v>
      </c>
      <c r="AD108" s="72" t="s">
        <v>2087</v>
      </c>
    </row>
    <row r="109" spans="1:30" ht="30" x14ac:dyDescent="0.25">
      <c r="A109" s="21" t="s">
        <v>1657</v>
      </c>
      <c r="B109" s="21" t="s">
        <v>2075</v>
      </c>
      <c r="C109" s="24" t="b">
        <f>TRUE()</f>
        <v>1</v>
      </c>
      <c r="D109" s="21" t="s">
        <v>284</v>
      </c>
      <c r="E109" s="21" t="s">
        <v>284</v>
      </c>
      <c r="F109" s="21" t="s">
        <v>1649</v>
      </c>
      <c r="G109" s="21" t="s">
        <v>1665</v>
      </c>
      <c r="H109" s="21" t="s">
        <v>1925</v>
      </c>
      <c r="Q109" s="21" t="s">
        <v>1791</v>
      </c>
      <c r="S109" s="21" t="s">
        <v>1890</v>
      </c>
      <c r="Y109" s="21" t="b">
        <f>TRUE()</f>
        <v>1</v>
      </c>
      <c r="AD109" s="61" t="s">
        <v>1905</v>
      </c>
    </row>
    <row r="110" spans="1:30" ht="30" x14ac:dyDescent="0.25">
      <c r="A110" s="21" t="s">
        <v>1658</v>
      </c>
      <c r="B110" s="21" t="s">
        <v>2075</v>
      </c>
      <c r="C110" s="24" t="b">
        <f>TRUE()</f>
        <v>1</v>
      </c>
      <c r="D110" s="21" t="s">
        <v>284</v>
      </c>
      <c r="E110" s="21" t="s">
        <v>284</v>
      </c>
      <c r="F110" s="21" t="s">
        <v>1650</v>
      </c>
      <c r="G110" s="21" t="s">
        <v>1666</v>
      </c>
      <c r="H110" s="21" t="s">
        <v>1927</v>
      </c>
      <c r="Q110" s="21" t="s">
        <v>1791</v>
      </c>
      <c r="S110" s="21" t="s">
        <v>1890</v>
      </c>
      <c r="Y110" s="21" t="b">
        <f>TRUE()</f>
        <v>1</v>
      </c>
      <c r="AD110" s="61" t="s">
        <v>1905</v>
      </c>
    </row>
    <row r="111" spans="1:30" ht="45" x14ac:dyDescent="0.25">
      <c r="A111" s="21" t="s">
        <v>1659</v>
      </c>
      <c r="B111" s="21" t="s">
        <v>2075</v>
      </c>
      <c r="C111" s="24" t="b">
        <f>TRUE()</f>
        <v>1</v>
      </c>
      <c r="D111" s="21" t="s">
        <v>284</v>
      </c>
      <c r="E111" s="21" t="s">
        <v>284</v>
      </c>
      <c r="F111" s="21" t="s">
        <v>1651</v>
      </c>
      <c r="G111" s="21" t="s">
        <v>1667</v>
      </c>
      <c r="H111" s="21" t="s">
        <v>1922</v>
      </c>
      <c r="Q111" s="21" t="s">
        <v>1795</v>
      </c>
      <c r="R111" s="21" t="s">
        <v>1809</v>
      </c>
      <c r="S111" s="21" t="s">
        <v>1891</v>
      </c>
      <c r="Y111" s="21" t="b">
        <f>TRUE()</f>
        <v>1</v>
      </c>
      <c r="AD111" s="69" t="s">
        <v>2049</v>
      </c>
    </row>
    <row r="112" spans="1:30" ht="30" x14ac:dyDescent="0.25">
      <c r="A112" s="21" t="s">
        <v>1660</v>
      </c>
      <c r="B112" s="21" t="s">
        <v>33</v>
      </c>
      <c r="C112" s="24" t="b">
        <f>TRUE()</f>
        <v>1</v>
      </c>
      <c r="D112" s="21" t="s">
        <v>284</v>
      </c>
      <c r="E112" s="21" t="s">
        <v>284</v>
      </c>
      <c r="F112" s="21" t="s">
        <v>1652</v>
      </c>
      <c r="G112" s="21" t="s">
        <v>1668</v>
      </c>
      <c r="H112" s="21" t="s">
        <v>1923</v>
      </c>
      <c r="Q112" s="21" t="s">
        <v>1796</v>
      </c>
      <c r="S112" s="21" t="s">
        <v>1888</v>
      </c>
      <c r="Y112" s="21" t="b">
        <f>TRUE()</f>
        <v>1</v>
      </c>
    </row>
    <row r="113" spans="1:30" ht="30" x14ac:dyDescent="0.25">
      <c r="A113" s="21" t="s">
        <v>1661</v>
      </c>
      <c r="B113" s="21" t="s">
        <v>2075</v>
      </c>
      <c r="C113" s="24" t="b">
        <f>TRUE()</f>
        <v>1</v>
      </c>
      <c r="D113" s="21" t="s">
        <v>284</v>
      </c>
      <c r="E113" s="21" t="s">
        <v>284</v>
      </c>
      <c r="F113" s="21" t="s">
        <v>1653</v>
      </c>
      <c r="G113" s="21" t="s">
        <v>1669</v>
      </c>
      <c r="H113" s="21" t="s">
        <v>1928</v>
      </c>
      <c r="Q113" s="21" t="s">
        <v>1792</v>
      </c>
      <c r="S113" s="21" t="s">
        <v>1897</v>
      </c>
      <c r="Y113" s="21" t="b">
        <f>TRUE()</f>
        <v>1</v>
      </c>
      <c r="AD113" s="61" t="s">
        <v>1903</v>
      </c>
    </row>
    <row r="114" spans="1:30" ht="30" x14ac:dyDescent="0.25">
      <c r="A114" s="21" t="s">
        <v>1662</v>
      </c>
      <c r="B114" s="21" t="s">
        <v>2075</v>
      </c>
      <c r="C114" s="24" t="b">
        <f>TRUE()</f>
        <v>1</v>
      </c>
      <c r="D114" s="21" t="s">
        <v>284</v>
      </c>
      <c r="E114" s="21" t="s">
        <v>284</v>
      </c>
      <c r="F114" s="21" t="s">
        <v>1654</v>
      </c>
      <c r="G114" s="21" t="s">
        <v>1670</v>
      </c>
      <c r="H114" s="21" t="s">
        <v>1929</v>
      </c>
      <c r="Q114" s="21" t="s">
        <v>1792</v>
      </c>
      <c r="R114" s="21" t="s">
        <v>1808</v>
      </c>
      <c r="S114" s="21" t="s">
        <v>1897</v>
      </c>
      <c r="Y114" s="21" t="b">
        <f>TRUE()</f>
        <v>1</v>
      </c>
      <c r="AD114" s="61" t="s">
        <v>1878</v>
      </c>
    </row>
    <row r="115" spans="1:30" ht="30" x14ac:dyDescent="0.25">
      <c r="A115" s="21" t="s">
        <v>1663</v>
      </c>
      <c r="B115" s="21" t="s">
        <v>2075</v>
      </c>
      <c r="C115" s="24" t="b">
        <f>TRUE()</f>
        <v>1</v>
      </c>
      <c r="D115" s="21" t="s">
        <v>284</v>
      </c>
      <c r="E115" s="21" t="s">
        <v>284</v>
      </c>
      <c r="F115" s="21" t="s">
        <v>1655</v>
      </c>
      <c r="G115" s="21" t="s">
        <v>1665</v>
      </c>
      <c r="H115" s="21" t="s">
        <v>1930</v>
      </c>
      <c r="Q115" s="21" t="s">
        <v>1793</v>
      </c>
      <c r="S115" s="21" t="s">
        <v>1898</v>
      </c>
      <c r="Y115" s="21" t="b">
        <f>TRUE()</f>
        <v>1</v>
      </c>
      <c r="AD115" s="61" t="s">
        <v>1902</v>
      </c>
    </row>
    <row r="116" spans="1:30" ht="30" x14ac:dyDescent="0.25">
      <c r="A116" s="21" t="s">
        <v>1664</v>
      </c>
      <c r="B116" s="21" t="s">
        <v>2075</v>
      </c>
      <c r="C116" s="24" t="b">
        <f>TRUE()</f>
        <v>1</v>
      </c>
      <c r="D116" s="21" t="s">
        <v>284</v>
      </c>
      <c r="E116" s="21" t="s">
        <v>284</v>
      </c>
      <c r="F116" s="21" t="s">
        <v>1656</v>
      </c>
      <c r="G116" s="21" t="s">
        <v>1666</v>
      </c>
      <c r="H116" s="21" t="s">
        <v>1931</v>
      </c>
      <c r="Q116" s="21" t="s">
        <v>1793</v>
      </c>
      <c r="S116" s="21" t="s">
        <v>1898</v>
      </c>
      <c r="Y116" s="21" t="b">
        <f>TRUE()</f>
        <v>1</v>
      </c>
      <c r="AD116" s="61" t="s">
        <v>1902</v>
      </c>
    </row>
    <row r="117" spans="1:30" ht="75" x14ac:dyDescent="0.25">
      <c r="A117" s="21" t="s">
        <v>315</v>
      </c>
      <c r="B117" s="21" t="s">
        <v>2075</v>
      </c>
      <c r="C117" s="24" t="b">
        <f>TRUE()</f>
        <v>1</v>
      </c>
      <c r="D117" s="21" t="s">
        <v>284</v>
      </c>
      <c r="E117" s="21" t="s">
        <v>284</v>
      </c>
      <c r="F117" s="21" t="s">
        <v>316</v>
      </c>
      <c r="G117" s="21" t="s">
        <v>317</v>
      </c>
      <c r="H117" s="21" t="s">
        <v>318</v>
      </c>
      <c r="Q117" s="21" t="s">
        <v>1794</v>
      </c>
      <c r="R117" s="21" t="s">
        <v>1810</v>
      </c>
      <c r="S117" s="21" t="s">
        <v>1899</v>
      </c>
      <c r="Y117" s="21" t="b">
        <f>TRUE()</f>
        <v>1</v>
      </c>
      <c r="AD117" s="69" t="s">
        <v>2071</v>
      </c>
    </row>
    <row r="118" spans="1:30" ht="60" x14ac:dyDescent="0.25">
      <c r="A118" s="21" t="s">
        <v>1715</v>
      </c>
      <c r="B118" s="21" t="s">
        <v>33</v>
      </c>
      <c r="C118" s="24" t="b">
        <f>TRUE()</f>
        <v>1</v>
      </c>
      <c r="D118" s="21" t="s">
        <v>284</v>
      </c>
      <c r="E118" s="21" t="s">
        <v>293</v>
      </c>
      <c r="F118" s="21" t="s">
        <v>1716</v>
      </c>
      <c r="G118" s="21" t="s">
        <v>2103</v>
      </c>
      <c r="H118" s="21" t="s">
        <v>1933</v>
      </c>
      <c r="Q118" s="21" t="s">
        <v>1720</v>
      </c>
      <c r="S118" s="21" t="s">
        <v>1721</v>
      </c>
      <c r="Y118" s="21" t="b">
        <f>TRUE()</f>
        <v>1</v>
      </c>
      <c r="Z118" s="21" t="s">
        <v>1780</v>
      </c>
      <c r="AA118" s="21" t="s">
        <v>115</v>
      </c>
      <c r="AC118" s="68" t="s">
        <v>1936</v>
      </c>
      <c r="AD118" s="61" t="s">
        <v>1908</v>
      </c>
    </row>
    <row r="119" spans="1:30" x14ac:dyDescent="0.25">
      <c r="A119" s="21" t="s">
        <v>1676</v>
      </c>
      <c r="B119" s="21" t="s">
        <v>33</v>
      </c>
      <c r="C119" s="24" t="b">
        <f>TRUE()</f>
        <v>1</v>
      </c>
      <c r="D119" s="21" t="s">
        <v>284</v>
      </c>
      <c r="E119" s="21" t="s">
        <v>284</v>
      </c>
      <c r="F119" s="21" t="s">
        <v>1671</v>
      </c>
      <c r="G119" s="21" t="s">
        <v>1681</v>
      </c>
      <c r="H119" s="21" t="s">
        <v>1934</v>
      </c>
      <c r="Q119" s="21" t="s">
        <v>1797</v>
      </c>
      <c r="S119" s="21" t="s">
        <v>1685</v>
      </c>
      <c r="Y119" s="21" t="b">
        <f>TRUE()</f>
        <v>1</v>
      </c>
      <c r="AD119" s="61" t="s">
        <v>1910</v>
      </c>
    </row>
    <row r="120" spans="1:30" ht="30" x14ac:dyDescent="0.25">
      <c r="A120" s="21" t="s">
        <v>1677</v>
      </c>
      <c r="B120" s="21" t="s">
        <v>33</v>
      </c>
      <c r="C120" s="24" t="b">
        <f>TRUE()</f>
        <v>1</v>
      </c>
      <c r="D120" s="21" t="s">
        <v>284</v>
      </c>
      <c r="E120" s="21" t="s">
        <v>284</v>
      </c>
      <c r="F120" s="21" t="s">
        <v>1675</v>
      </c>
      <c r="G120" s="21" t="s">
        <v>1682</v>
      </c>
      <c r="H120" s="21" t="s">
        <v>2040</v>
      </c>
      <c r="Q120" s="21" t="s">
        <v>1798</v>
      </c>
      <c r="S120" s="21" t="s">
        <v>1686</v>
      </c>
      <c r="Y120" s="21" t="b">
        <f>TRUE()</f>
        <v>1</v>
      </c>
      <c r="AD120" s="61" t="s">
        <v>1913</v>
      </c>
    </row>
    <row r="121" spans="1:30" ht="30" x14ac:dyDescent="0.25">
      <c r="A121" s="21" t="s">
        <v>1678</v>
      </c>
      <c r="B121" s="21" t="s">
        <v>33</v>
      </c>
      <c r="C121" s="24" t="b">
        <f>TRUE()</f>
        <v>1</v>
      </c>
      <c r="D121" s="21" t="s">
        <v>284</v>
      </c>
      <c r="E121" s="21" t="s">
        <v>284</v>
      </c>
      <c r="F121" s="21" t="s">
        <v>1673</v>
      </c>
      <c r="G121" s="21" t="s">
        <v>1682</v>
      </c>
      <c r="H121" s="21" t="s">
        <v>2040</v>
      </c>
      <c r="Q121" s="21" t="s">
        <v>1799</v>
      </c>
      <c r="S121" s="21" t="s">
        <v>1687</v>
      </c>
      <c r="Y121" s="21" t="b">
        <f>TRUE()</f>
        <v>1</v>
      </c>
      <c r="AD121" s="61" t="s">
        <v>1914</v>
      </c>
    </row>
    <row r="122" spans="1:30" ht="45" x14ac:dyDescent="0.25">
      <c r="A122" s="21" t="s">
        <v>1709</v>
      </c>
      <c r="B122" s="21" t="s">
        <v>33</v>
      </c>
      <c r="C122" s="24" t="b">
        <f>TRUE()</f>
        <v>1</v>
      </c>
      <c r="D122" s="21" t="s">
        <v>284</v>
      </c>
      <c r="E122" s="21" t="s">
        <v>293</v>
      </c>
      <c r="F122" s="21" t="s">
        <v>1710</v>
      </c>
      <c r="G122" s="21" t="s">
        <v>2104</v>
      </c>
      <c r="H122" s="21" t="s">
        <v>1937</v>
      </c>
      <c r="Q122" s="21" t="s">
        <v>1725</v>
      </c>
      <c r="S122" s="21" t="s">
        <v>1722</v>
      </c>
      <c r="Y122" s="21" t="b">
        <f>TRUE()</f>
        <v>1</v>
      </c>
      <c r="AC122" s="68" t="s">
        <v>1936</v>
      </c>
      <c r="AD122" s="61" t="s">
        <v>1917</v>
      </c>
    </row>
    <row r="123" spans="1:30" x14ac:dyDescent="0.25">
      <c r="A123" s="21" t="s">
        <v>1679</v>
      </c>
      <c r="B123" s="21" t="s">
        <v>33</v>
      </c>
      <c r="C123" s="24" t="b">
        <f>TRUE()</f>
        <v>1</v>
      </c>
      <c r="D123" s="21" t="s">
        <v>284</v>
      </c>
      <c r="E123" s="21" t="s">
        <v>284</v>
      </c>
      <c r="F123" s="21" t="s">
        <v>1672</v>
      </c>
      <c r="G123" s="21" t="s">
        <v>1683</v>
      </c>
      <c r="H123" s="21" t="s">
        <v>1938</v>
      </c>
      <c r="Q123" s="21" t="s">
        <v>1800</v>
      </c>
      <c r="S123" s="21" t="s">
        <v>1685</v>
      </c>
      <c r="Y123" s="21" t="b">
        <f>TRUE()</f>
        <v>1</v>
      </c>
      <c r="AD123" s="61" t="s">
        <v>1919</v>
      </c>
    </row>
    <row r="124" spans="1:30" ht="30" x14ac:dyDescent="0.25">
      <c r="A124" s="21" t="s">
        <v>1885</v>
      </c>
      <c r="B124" s="21" t="s">
        <v>33</v>
      </c>
      <c r="C124" s="24" t="b">
        <f>TRUE()</f>
        <v>1</v>
      </c>
      <c r="D124" s="21" t="s">
        <v>284</v>
      </c>
      <c r="E124" s="21" t="s">
        <v>284</v>
      </c>
      <c r="F124" s="21" t="s">
        <v>1886</v>
      </c>
      <c r="G124" s="21" t="s">
        <v>1684</v>
      </c>
      <c r="H124" s="21" t="s">
        <v>2039</v>
      </c>
      <c r="Q124" s="21" t="s">
        <v>1887</v>
      </c>
      <c r="S124" s="21" t="s">
        <v>1686</v>
      </c>
      <c r="Y124" s="21" t="b">
        <f>TRUE()</f>
        <v>1</v>
      </c>
      <c r="AD124" s="61" t="s">
        <v>1920</v>
      </c>
    </row>
    <row r="125" spans="1:30" ht="30" x14ac:dyDescent="0.25">
      <c r="A125" s="21" t="s">
        <v>1680</v>
      </c>
      <c r="B125" s="21" t="s">
        <v>33</v>
      </c>
      <c r="C125" s="24" t="b">
        <f>TRUE()</f>
        <v>1</v>
      </c>
      <c r="D125" s="21" t="s">
        <v>284</v>
      </c>
      <c r="E125" s="21" t="s">
        <v>284</v>
      </c>
      <c r="F125" s="21" t="s">
        <v>1674</v>
      </c>
      <c r="G125" s="21" t="s">
        <v>1684</v>
      </c>
      <c r="H125" s="21" t="s">
        <v>2039</v>
      </c>
      <c r="Q125" s="21" t="s">
        <v>1801</v>
      </c>
      <c r="S125" s="21" t="s">
        <v>1687</v>
      </c>
      <c r="Y125" s="21" t="b">
        <f>TRUE()</f>
        <v>1</v>
      </c>
      <c r="AD125" s="61" t="s">
        <v>1921</v>
      </c>
    </row>
    <row r="126" spans="1:30" ht="45" x14ac:dyDescent="0.25">
      <c r="A126" s="21" t="s">
        <v>319</v>
      </c>
      <c r="B126" s="21" t="s">
        <v>56</v>
      </c>
      <c r="C126" s="70" t="b">
        <f>FALSE()</f>
        <v>0</v>
      </c>
      <c r="D126" s="21" t="s">
        <v>284</v>
      </c>
      <c r="E126" s="21" t="s">
        <v>284</v>
      </c>
      <c r="F126" s="21" t="s">
        <v>320</v>
      </c>
      <c r="G126" s="21" t="s">
        <v>321</v>
      </c>
      <c r="H126" s="21" t="s">
        <v>322</v>
      </c>
      <c r="Y126" s="21" t="b">
        <f>TRUE()</f>
        <v>1</v>
      </c>
    </row>
    <row r="127" spans="1:30" ht="30" x14ac:dyDescent="0.25">
      <c r="A127" s="21" t="s">
        <v>324</v>
      </c>
      <c r="B127" s="21" t="s">
        <v>33</v>
      </c>
      <c r="C127" s="24" t="b">
        <f>TRUE()</f>
        <v>1</v>
      </c>
      <c r="D127" s="21" t="s">
        <v>284</v>
      </c>
      <c r="E127" s="21" t="s">
        <v>284</v>
      </c>
      <c r="F127" s="21" t="s">
        <v>1727</v>
      </c>
      <c r="G127" s="21" t="s">
        <v>1728</v>
      </c>
      <c r="H127" s="21" t="s">
        <v>1943</v>
      </c>
      <c r="Y127" s="21" t="b">
        <f>TRUE()</f>
        <v>1</v>
      </c>
    </row>
    <row r="128" spans="1:30" ht="45" x14ac:dyDescent="0.25">
      <c r="A128" s="21" t="s">
        <v>1718</v>
      </c>
      <c r="B128" s="21" t="s">
        <v>33</v>
      </c>
      <c r="C128" s="24" t="b">
        <f>TRUE()</f>
        <v>1</v>
      </c>
      <c r="D128" s="21" t="s">
        <v>284</v>
      </c>
      <c r="E128" s="21" t="s">
        <v>293</v>
      </c>
      <c r="F128" s="21" t="s">
        <v>1719</v>
      </c>
      <c r="G128" s="21" t="s">
        <v>2105</v>
      </c>
      <c r="H128" s="21" t="s">
        <v>1944</v>
      </c>
      <c r="Q128" s="21" t="s">
        <v>1717</v>
      </c>
      <c r="S128" s="21" t="s">
        <v>1721</v>
      </c>
      <c r="Y128" s="21" t="b">
        <f>TRUE()</f>
        <v>1</v>
      </c>
      <c r="Z128" s="21" t="s">
        <v>1781</v>
      </c>
      <c r="AA128" s="21" t="s">
        <v>115</v>
      </c>
      <c r="AC128" s="68" t="s">
        <v>1936</v>
      </c>
      <c r="AD128" s="61" t="s">
        <v>1924</v>
      </c>
    </row>
    <row r="129" spans="1:30" ht="45" x14ac:dyDescent="0.25">
      <c r="A129" s="21" t="s">
        <v>1723</v>
      </c>
      <c r="B129" s="21" t="s">
        <v>33</v>
      </c>
      <c r="C129" s="24" t="b">
        <f>TRUE()</f>
        <v>1</v>
      </c>
      <c r="D129" s="21" t="s">
        <v>284</v>
      </c>
      <c r="E129" s="21" t="s">
        <v>293</v>
      </c>
      <c r="F129" s="21" t="s">
        <v>1724</v>
      </c>
      <c r="G129" s="21" t="s">
        <v>2106</v>
      </c>
      <c r="H129" s="21" t="s">
        <v>1945</v>
      </c>
      <c r="Q129" s="21" t="s">
        <v>1726</v>
      </c>
      <c r="S129" s="21" t="s">
        <v>1722</v>
      </c>
      <c r="Y129" s="21" t="b">
        <f>TRUE()</f>
        <v>1</v>
      </c>
      <c r="AC129" s="68" t="s">
        <v>1936</v>
      </c>
      <c r="AD129" s="61" t="s">
        <v>1926</v>
      </c>
    </row>
    <row r="130" spans="1:30" ht="30" x14ac:dyDescent="0.25">
      <c r="A130" s="21" t="s">
        <v>1739</v>
      </c>
      <c r="B130" s="21" t="s">
        <v>2075</v>
      </c>
      <c r="C130" s="24" t="b">
        <f>TRUE()</f>
        <v>1</v>
      </c>
      <c r="D130" s="21" t="s">
        <v>284</v>
      </c>
      <c r="E130" s="21" t="s">
        <v>293</v>
      </c>
      <c r="F130" s="21" t="s">
        <v>1741</v>
      </c>
      <c r="G130" s="21" t="s">
        <v>1742</v>
      </c>
      <c r="H130" s="21" t="s">
        <v>1946</v>
      </c>
      <c r="Q130" s="21" t="s">
        <v>1745</v>
      </c>
      <c r="Y130" s="21" t="b">
        <f>TRUE()</f>
        <v>1</v>
      </c>
      <c r="AD130" s="61" t="s">
        <v>1932</v>
      </c>
    </row>
    <row r="131" spans="1:30" ht="30" x14ac:dyDescent="0.25">
      <c r="A131" s="21" t="s">
        <v>1740</v>
      </c>
      <c r="B131" s="21" t="s">
        <v>2075</v>
      </c>
      <c r="C131" s="24" t="b">
        <f>TRUE()</f>
        <v>1</v>
      </c>
      <c r="D131" s="21" t="s">
        <v>284</v>
      </c>
      <c r="E131" s="21" t="s">
        <v>293</v>
      </c>
      <c r="F131" s="21" t="s">
        <v>1744</v>
      </c>
      <c r="G131" s="21" t="s">
        <v>1743</v>
      </c>
      <c r="H131" s="21" t="s">
        <v>1947</v>
      </c>
      <c r="Q131" s="21" t="s">
        <v>1746</v>
      </c>
      <c r="Y131" s="21" t="b">
        <f>TRUE()</f>
        <v>1</v>
      </c>
    </row>
    <row r="132" spans="1:30" ht="30" x14ac:dyDescent="0.25">
      <c r="A132" s="21" t="s">
        <v>1736</v>
      </c>
      <c r="B132" s="21" t="s">
        <v>33</v>
      </c>
      <c r="C132" s="24" t="b">
        <f>TRUE()</f>
        <v>1</v>
      </c>
      <c r="D132" s="21" t="s">
        <v>284</v>
      </c>
      <c r="E132" s="21" t="s">
        <v>293</v>
      </c>
      <c r="F132" s="21" t="s">
        <v>1735</v>
      </c>
      <c r="G132" s="21" t="s">
        <v>1738</v>
      </c>
      <c r="H132" s="21" t="s">
        <v>1948</v>
      </c>
      <c r="Q132" s="21" t="s">
        <v>1737</v>
      </c>
      <c r="S132" s="21" t="s">
        <v>1640</v>
      </c>
      <c r="Y132" s="21" t="b">
        <f>TRUE()</f>
        <v>1</v>
      </c>
      <c r="AC132" s="68" t="s">
        <v>1936</v>
      </c>
      <c r="AD132" s="61" t="s">
        <v>1935</v>
      </c>
    </row>
    <row r="133" spans="1:30" ht="60" x14ac:dyDescent="0.25">
      <c r="A133" s="21" t="s">
        <v>1939</v>
      </c>
      <c r="B133" s="21" t="s">
        <v>2072</v>
      </c>
      <c r="C133" s="24" t="b">
        <v>1</v>
      </c>
      <c r="D133" s="21" t="s">
        <v>284</v>
      </c>
      <c r="E133" s="21" t="s">
        <v>293</v>
      </c>
      <c r="F133" s="21" t="s">
        <v>1939</v>
      </c>
      <c r="G133" s="21" t="s">
        <v>1940</v>
      </c>
      <c r="H133" s="21" t="s">
        <v>1949</v>
      </c>
      <c r="I133" s="21" t="s">
        <v>1941</v>
      </c>
      <c r="J133" s="21" t="s">
        <v>1950</v>
      </c>
      <c r="Q133" s="21" t="s">
        <v>1942</v>
      </c>
      <c r="S133" s="21" t="s">
        <v>2088</v>
      </c>
      <c r="AC133" s="59" t="s">
        <v>2179</v>
      </c>
      <c r="AD133" s="61" t="s">
        <v>2034</v>
      </c>
    </row>
    <row r="134" spans="1:30" ht="30" x14ac:dyDescent="0.25">
      <c r="A134" s="21" t="s">
        <v>325</v>
      </c>
      <c r="B134" s="21" t="s">
        <v>2099</v>
      </c>
      <c r="C134" s="24" t="b">
        <f>TRUE()</f>
        <v>1</v>
      </c>
      <c r="D134" s="21" t="s">
        <v>284</v>
      </c>
      <c r="E134" s="21" t="s">
        <v>293</v>
      </c>
      <c r="F134" s="21" t="s">
        <v>326</v>
      </c>
      <c r="G134" s="21" t="s">
        <v>327</v>
      </c>
      <c r="H134" s="21" t="s">
        <v>328</v>
      </c>
      <c r="Y134" s="21" t="b">
        <f>TRUE()</f>
        <v>1</v>
      </c>
    </row>
    <row r="135" spans="1:30" ht="60" x14ac:dyDescent="0.25">
      <c r="A135" s="21" t="s">
        <v>329</v>
      </c>
      <c r="B135" s="21" t="s">
        <v>80</v>
      </c>
      <c r="C135" s="24" t="b">
        <f>TRUE()</f>
        <v>1</v>
      </c>
      <c r="D135" s="21" t="s">
        <v>284</v>
      </c>
      <c r="F135" s="21" t="s">
        <v>330</v>
      </c>
      <c r="G135" s="21" t="s">
        <v>281</v>
      </c>
      <c r="H135" s="21" t="s">
        <v>282</v>
      </c>
      <c r="Q135" s="21" t="s">
        <v>283</v>
      </c>
      <c r="Y135" s="21" t="b">
        <f>TRUE()</f>
        <v>1</v>
      </c>
      <c r="AC135" s="45" t="s">
        <v>2178</v>
      </c>
    </row>
    <row r="136" spans="1:30" ht="30" x14ac:dyDescent="0.25">
      <c r="A136" s="21" t="s">
        <v>177</v>
      </c>
      <c r="B136" s="21" t="s">
        <v>56</v>
      </c>
      <c r="C136" s="24" t="b">
        <f>TRUE()</f>
        <v>1</v>
      </c>
      <c r="D136" s="21" t="s">
        <v>331</v>
      </c>
      <c r="Y136" s="21" t="b">
        <f>TRUE()</f>
        <v>1</v>
      </c>
    </row>
    <row r="137" spans="1:30" ht="30" x14ac:dyDescent="0.25">
      <c r="A137" s="21" t="s">
        <v>181</v>
      </c>
      <c r="B137" s="21" t="s">
        <v>56</v>
      </c>
      <c r="C137" s="24" t="b">
        <f>TRUE()</f>
        <v>1</v>
      </c>
      <c r="D137" s="21" t="s">
        <v>331</v>
      </c>
      <c r="F137" s="21" t="s">
        <v>181</v>
      </c>
      <c r="G137" s="21" t="s">
        <v>182</v>
      </c>
      <c r="H137" s="21" t="s">
        <v>183</v>
      </c>
      <c r="Q137" s="21" t="s">
        <v>2093</v>
      </c>
      <c r="Y137" s="21" t="b">
        <f>TRUE()</f>
        <v>1</v>
      </c>
    </row>
    <row r="138" spans="1:30" ht="45" x14ac:dyDescent="0.25">
      <c r="A138" s="21" t="s">
        <v>332</v>
      </c>
      <c r="B138" s="21" t="s">
        <v>38</v>
      </c>
      <c r="C138" s="24" t="b">
        <f>TRUE()</f>
        <v>1</v>
      </c>
      <c r="D138" s="21" t="s">
        <v>331</v>
      </c>
      <c r="F138" s="21" t="s">
        <v>332</v>
      </c>
      <c r="G138" s="21" t="s">
        <v>333</v>
      </c>
      <c r="H138" s="21" t="s">
        <v>334</v>
      </c>
      <c r="I138" s="21" t="s">
        <v>1764</v>
      </c>
      <c r="J138" s="21" t="s">
        <v>1951</v>
      </c>
      <c r="Q138" s="21" t="s">
        <v>340</v>
      </c>
      <c r="Y138" s="21" t="b">
        <f>TRUE()</f>
        <v>1</v>
      </c>
      <c r="AD138" s="72" t="s">
        <v>2057</v>
      </c>
    </row>
    <row r="139" spans="1:30" ht="45" x14ac:dyDescent="0.25">
      <c r="A139" s="21" t="s">
        <v>335</v>
      </c>
      <c r="B139" s="21" t="s">
        <v>336</v>
      </c>
      <c r="C139" s="24" t="b">
        <f>TRUE()</f>
        <v>1</v>
      </c>
      <c r="D139" s="21" t="s">
        <v>331</v>
      </c>
      <c r="F139" s="21" t="s">
        <v>337</v>
      </c>
      <c r="G139" s="21" t="s">
        <v>338</v>
      </c>
      <c r="H139" s="21" t="s">
        <v>339</v>
      </c>
      <c r="Q139" s="21" t="s">
        <v>340</v>
      </c>
      <c r="S139" s="21" t="s">
        <v>341</v>
      </c>
      <c r="Y139" s="21" t="b">
        <f>TRUE()</f>
        <v>1</v>
      </c>
      <c r="AD139" s="72" t="s">
        <v>2057</v>
      </c>
    </row>
    <row r="140" spans="1:30" ht="45" x14ac:dyDescent="0.25">
      <c r="A140" s="21" t="s">
        <v>2058</v>
      </c>
      <c r="B140" s="21" t="s">
        <v>38</v>
      </c>
      <c r="C140" s="21" t="b">
        <f>TRUE()</f>
        <v>1</v>
      </c>
      <c r="D140" s="16" t="s">
        <v>331</v>
      </c>
      <c r="F140" s="21" t="s">
        <v>2059</v>
      </c>
      <c r="G140" s="21" t="s">
        <v>2060</v>
      </c>
      <c r="H140" s="21" t="s">
        <v>2135</v>
      </c>
      <c r="I140" s="21" t="s">
        <v>2061</v>
      </c>
      <c r="J140" s="21" t="s">
        <v>2171</v>
      </c>
      <c r="Q140" s="21" t="s">
        <v>1245</v>
      </c>
      <c r="AD140" s="72" t="s">
        <v>2062</v>
      </c>
    </row>
    <row r="141" spans="1:30" ht="30" x14ac:dyDescent="0.25">
      <c r="A141" s="21" t="s">
        <v>142</v>
      </c>
      <c r="B141" s="21" t="s">
        <v>26</v>
      </c>
      <c r="C141" s="21" t="b">
        <f>TRUE()</f>
        <v>1</v>
      </c>
      <c r="D141" s="16" t="s">
        <v>331</v>
      </c>
      <c r="F141" s="21" t="s">
        <v>143</v>
      </c>
      <c r="G141" s="21" t="s">
        <v>144</v>
      </c>
      <c r="H141" s="21" t="s">
        <v>1952</v>
      </c>
      <c r="I141" s="21" t="s">
        <v>145</v>
      </c>
      <c r="J141" s="21" t="s">
        <v>1953</v>
      </c>
      <c r="Q141" s="21" t="s">
        <v>1245</v>
      </c>
      <c r="Y141" s="21" t="b">
        <f>TRUE()</f>
        <v>1</v>
      </c>
      <c r="AD141" s="72" t="s">
        <v>2062</v>
      </c>
    </row>
    <row r="142" spans="1:30" ht="135" x14ac:dyDescent="0.25">
      <c r="A142" s="21" t="s">
        <v>147</v>
      </c>
      <c r="B142" s="21" t="s">
        <v>2098</v>
      </c>
      <c r="C142" s="21" t="b">
        <f>TRUE()</f>
        <v>1</v>
      </c>
      <c r="D142" s="16" t="s">
        <v>331</v>
      </c>
      <c r="F142" s="21" t="s">
        <v>148</v>
      </c>
      <c r="G142" s="21" t="s">
        <v>149</v>
      </c>
      <c r="H142" s="21" t="s">
        <v>1954</v>
      </c>
      <c r="I142" s="21" t="s">
        <v>150</v>
      </c>
      <c r="J142" s="21" t="s">
        <v>1955</v>
      </c>
      <c r="Q142" s="21" t="s">
        <v>1245</v>
      </c>
      <c r="Y142" s="21" t="b">
        <f>TRUE()</f>
        <v>1</v>
      </c>
      <c r="AD142" s="72" t="s">
        <v>2062</v>
      </c>
    </row>
    <row r="143" spans="1:30" ht="165" x14ac:dyDescent="0.25">
      <c r="A143" s="21" t="s">
        <v>1246</v>
      </c>
      <c r="B143" s="21" t="s">
        <v>33</v>
      </c>
      <c r="C143" s="21" t="b">
        <f>TRUE()</f>
        <v>1</v>
      </c>
      <c r="D143" s="16" t="s">
        <v>331</v>
      </c>
      <c r="F143" s="21" t="s">
        <v>1247</v>
      </c>
      <c r="G143" s="21" t="s">
        <v>1248</v>
      </c>
      <c r="H143" s="21" t="s">
        <v>1538</v>
      </c>
      <c r="I143" s="21" t="s">
        <v>1762</v>
      </c>
      <c r="J143" s="21" t="s">
        <v>1956</v>
      </c>
      <c r="Q143" s="21" t="s">
        <v>1245</v>
      </c>
      <c r="S143" s="21" t="s">
        <v>1250</v>
      </c>
      <c r="T143" s="21" t="s">
        <v>1261</v>
      </c>
      <c r="Y143" s="21" t="b">
        <f>TRUE()</f>
        <v>1</v>
      </c>
      <c r="AC143" s="68" t="s">
        <v>1249</v>
      </c>
      <c r="AD143" s="72" t="s">
        <v>2062</v>
      </c>
    </row>
    <row r="144" spans="1:30" ht="45" x14ac:dyDescent="0.25">
      <c r="A144" s="21" t="s">
        <v>342</v>
      </c>
      <c r="B144" s="21" t="s">
        <v>38</v>
      </c>
      <c r="C144" s="24" t="b">
        <f>TRUE()</f>
        <v>1</v>
      </c>
      <c r="D144" s="21" t="s">
        <v>331</v>
      </c>
      <c r="F144" s="21" t="s">
        <v>342</v>
      </c>
      <c r="G144" s="21" t="s">
        <v>1263</v>
      </c>
      <c r="H144" s="21" t="s">
        <v>1536</v>
      </c>
      <c r="I144" s="21" t="s">
        <v>1763</v>
      </c>
      <c r="J144" s="21" t="s">
        <v>1957</v>
      </c>
      <c r="Q144" s="21" t="s">
        <v>1802</v>
      </c>
      <c r="Y144" s="21" t="b">
        <f>TRUE()</f>
        <v>1</v>
      </c>
    </row>
    <row r="145" spans="1:29" ht="60" x14ac:dyDescent="0.25">
      <c r="A145" s="21" t="s">
        <v>2064</v>
      </c>
      <c r="B145" s="21" t="s">
        <v>33</v>
      </c>
      <c r="C145" s="21" t="b">
        <f>TRUE()</f>
        <v>1</v>
      </c>
      <c r="D145" s="73" t="s">
        <v>331</v>
      </c>
      <c r="F145" s="21" t="s">
        <v>2063</v>
      </c>
      <c r="G145" s="21" t="s">
        <v>1265</v>
      </c>
      <c r="H145" s="21" t="s">
        <v>1537</v>
      </c>
      <c r="I145" s="21" t="s">
        <v>2180</v>
      </c>
      <c r="J145" s="21" t="s">
        <v>2037</v>
      </c>
      <c r="Q145" s="21" t="s">
        <v>1802</v>
      </c>
      <c r="S145" s="21" t="s">
        <v>36</v>
      </c>
      <c r="Y145" s="21" t="b">
        <f>TRUE()</f>
        <v>1</v>
      </c>
      <c r="AC145" s="68" t="s">
        <v>1264</v>
      </c>
    </row>
    <row r="146" spans="1:29" ht="30" x14ac:dyDescent="0.25">
      <c r="A146" s="21" t="s">
        <v>151</v>
      </c>
      <c r="B146" s="21" t="s">
        <v>26</v>
      </c>
      <c r="C146" s="21" t="b">
        <f>TRUE()</f>
        <v>1</v>
      </c>
      <c r="D146" s="16" t="s">
        <v>331</v>
      </c>
      <c r="F146" s="21" t="s">
        <v>152</v>
      </c>
      <c r="G146" s="21" t="s">
        <v>153</v>
      </c>
      <c r="H146" s="21" t="s">
        <v>154</v>
      </c>
      <c r="I146" s="21" t="s">
        <v>155</v>
      </c>
      <c r="J146" s="21" t="s">
        <v>156</v>
      </c>
      <c r="Q146" s="21" t="s">
        <v>2065</v>
      </c>
      <c r="Y146" s="21" t="b">
        <f>TRUE()</f>
        <v>1</v>
      </c>
    </row>
    <row r="147" spans="1:29" ht="135" x14ac:dyDescent="0.25">
      <c r="A147" s="21" t="s">
        <v>157</v>
      </c>
      <c r="B147" s="21" t="s">
        <v>2098</v>
      </c>
      <c r="C147" s="21" t="b">
        <f>TRUE()</f>
        <v>1</v>
      </c>
      <c r="D147" s="16" t="s">
        <v>331</v>
      </c>
      <c r="F147" s="21" t="s">
        <v>158</v>
      </c>
      <c r="G147" s="21" t="s">
        <v>159</v>
      </c>
      <c r="H147" s="21" t="s">
        <v>160</v>
      </c>
      <c r="I147" s="21" t="s">
        <v>161</v>
      </c>
      <c r="J147" s="21" t="s">
        <v>162</v>
      </c>
      <c r="Q147" s="21" t="s">
        <v>2065</v>
      </c>
    </row>
    <row r="148" spans="1:29" ht="45" x14ac:dyDescent="0.25">
      <c r="A148" s="22" t="s">
        <v>2066</v>
      </c>
      <c r="B148" s="62" t="s">
        <v>33</v>
      </c>
      <c r="C148" s="24" t="b">
        <f>TRUE()</f>
        <v>1</v>
      </c>
      <c r="D148" s="21" t="s">
        <v>331</v>
      </c>
      <c r="E148" s="22"/>
      <c r="F148" s="22" t="s">
        <v>2066</v>
      </c>
      <c r="G148" s="55" t="s">
        <v>2108</v>
      </c>
      <c r="H148" s="55" t="s">
        <v>2170</v>
      </c>
      <c r="I148" s="55" t="s">
        <v>2168</v>
      </c>
      <c r="J148" s="55" t="s">
        <v>2169</v>
      </c>
      <c r="K148" s="22"/>
      <c r="L148" s="22"/>
      <c r="M148" s="22"/>
      <c r="N148" s="22"/>
      <c r="O148" s="22"/>
      <c r="P148" s="22"/>
      <c r="Q148" s="21" t="s">
        <v>2065</v>
      </c>
      <c r="R148" s="22"/>
      <c r="S148" s="55" t="s">
        <v>343</v>
      </c>
      <c r="T148" s="22"/>
      <c r="Y148" s="21" t="b">
        <f>TRUE()</f>
        <v>1</v>
      </c>
    </row>
    <row r="149" spans="1:29" ht="30" x14ac:dyDescent="0.25">
      <c r="A149" s="21" t="s">
        <v>344</v>
      </c>
      <c r="B149" s="21" t="s">
        <v>80</v>
      </c>
      <c r="C149" s="24" t="b">
        <f>TRUE()</f>
        <v>1</v>
      </c>
      <c r="D149" s="21" t="s">
        <v>331</v>
      </c>
      <c r="F149" s="21" t="s">
        <v>345</v>
      </c>
      <c r="G149" s="21" t="s">
        <v>211</v>
      </c>
      <c r="H149" s="21" t="s">
        <v>212</v>
      </c>
    </row>
    <row r="150" spans="1:29" ht="90" x14ac:dyDescent="0.25">
      <c r="A150" s="21" t="s">
        <v>1336</v>
      </c>
      <c r="B150" s="21" t="s">
        <v>33</v>
      </c>
      <c r="C150" s="24" t="b">
        <f>TRUE()</f>
        <v>1</v>
      </c>
      <c r="D150" s="21" t="s">
        <v>2067</v>
      </c>
      <c r="E150" s="21" t="s">
        <v>2069</v>
      </c>
      <c r="F150" s="21" t="s">
        <v>1336</v>
      </c>
      <c r="G150" s="21" t="s">
        <v>2181</v>
      </c>
      <c r="H150" s="21" t="s">
        <v>1563</v>
      </c>
      <c r="Q150" s="21" t="s">
        <v>1337</v>
      </c>
      <c r="S150" s="21" t="s">
        <v>36</v>
      </c>
      <c r="T150" s="21" t="s">
        <v>2136</v>
      </c>
      <c r="Y150" s="21" t="b">
        <f>TRUE()</f>
        <v>1</v>
      </c>
      <c r="AC150" s="68" t="s">
        <v>1335</v>
      </c>
    </row>
    <row r="151" spans="1:29" ht="60" x14ac:dyDescent="0.25">
      <c r="A151" s="21" t="s">
        <v>1338</v>
      </c>
      <c r="B151" s="21" t="s">
        <v>2072</v>
      </c>
      <c r="C151" s="24" t="b">
        <f>TRUE()</f>
        <v>1</v>
      </c>
      <c r="D151" s="21" t="s">
        <v>2067</v>
      </c>
      <c r="E151" s="21" t="s">
        <v>2069</v>
      </c>
      <c r="F151" s="21" t="s">
        <v>1338</v>
      </c>
      <c r="G151" s="21" t="s">
        <v>1350</v>
      </c>
      <c r="H151" s="21" t="s">
        <v>1564</v>
      </c>
      <c r="Q151" s="21" t="s">
        <v>1342</v>
      </c>
      <c r="Y151" s="21" t="b">
        <f>TRUE()</f>
        <v>1</v>
      </c>
      <c r="AC151" s="68" t="s">
        <v>2111</v>
      </c>
    </row>
    <row r="152" spans="1:29" x14ac:dyDescent="0.25">
      <c r="A152" s="21" t="s">
        <v>1339</v>
      </c>
      <c r="B152" s="21" t="s">
        <v>33</v>
      </c>
      <c r="C152" s="24" t="b">
        <f>TRUE()</f>
        <v>1</v>
      </c>
      <c r="D152" s="21" t="s">
        <v>2067</v>
      </c>
      <c r="E152" s="21" t="s">
        <v>2069</v>
      </c>
      <c r="F152" s="21" t="s">
        <v>1339</v>
      </c>
      <c r="G152" s="21" t="s">
        <v>1349</v>
      </c>
      <c r="H152" s="21" t="s">
        <v>1539</v>
      </c>
      <c r="Q152" s="21" t="s">
        <v>1342</v>
      </c>
      <c r="S152" s="21" t="s">
        <v>1343</v>
      </c>
      <c r="Y152" s="21" t="b">
        <f>TRUE()</f>
        <v>1</v>
      </c>
    </row>
    <row r="153" spans="1:29" ht="60" x14ac:dyDescent="0.25">
      <c r="A153" s="21" t="s">
        <v>1341</v>
      </c>
      <c r="B153" s="21" t="s">
        <v>2072</v>
      </c>
      <c r="C153" s="24" t="b">
        <f>TRUE()</f>
        <v>1</v>
      </c>
      <c r="D153" s="21" t="s">
        <v>2067</v>
      </c>
      <c r="E153" s="21" t="s">
        <v>2069</v>
      </c>
      <c r="F153" s="21" t="s">
        <v>1341</v>
      </c>
      <c r="G153" s="21" t="s">
        <v>1351</v>
      </c>
      <c r="H153" s="21" t="s">
        <v>1565</v>
      </c>
      <c r="Q153" s="21" t="s">
        <v>1342</v>
      </c>
      <c r="Y153" s="21" t="b">
        <f>TRUE()</f>
        <v>1</v>
      </c>
      <c r="AC153" s="68" t="s">
        <v>2111</v>
      </c>
    </row>
    <row r="154" spans="1:29" x14ac:dyDescent="0.25">
      <c r="A154" s="21" t="s">
        <v>1340</v>
      </c>
      <c r="B154" s="21" t="s">
        <v>33</v>
      </c>
      <c r="C154" s="24" t="b">
        <f>TRUE()</f>
        <v>1</v>
      </c>
      <c r="D154" s="21" t="s">
        <v>2067</v>
      </c>
      <c r="E154" s="21" t="s">
        <v>2069</v>
      </c>
      <c r="F154" s="21" t="s">
        <v>1340</v>
      </c>
      <c r="G154" s="21" t="s">
        <v>1349</v>
      </c>
      <c r="H154" s="21" t="s">
        <v>1539</v>
      </c>
      <c r="Q154" s="21" t="s">
        <v>1342</v>
      </c>
      <c r="S154" s="21" t="s">
        <v>1343</v>
      </c>
      <c r="Y154" s="21" t="b">
        <f>TRUE()</f>
        <v>1</v>
      </c>
    </row>
    <row r="155" spans="1:29" ht="195" x14ac:dyDescent="0.25">
      <c r="A155" s="21" t="s">
        <v>1352</v>
      </c>
      <c r="B155" s="21" t="s">
        <v>33</v>
      </c>
      <c r="C155" s="24" t="b">
        <f>TRUE()</f>
        <v>1</v>
      </c>
      <c r="D155" s="21" t="s">
        <v>2067</v>
      </c>
      <c r="E155" s="21" t="s">
        <v>2068</v>
      </c>
      <c r="F155" s="21" t="s">
        <v>1352</v>
      </c>
      <c r="G155" s="21" t="s">
        <v>1361</v>
      </c>
      <c r="H155" s="21" t="s">
        <v>1540</v>
      </c>
      <c r="I155" s="21" t="s">
        <v>1766</v>
      </c>
      <c r="J155" s="21" t="s">
        <v>1765</v>
      </c>
      <c r="Q155" s="21" t="s">
        <v>1356</v>
      </c>
      <c r="S155" s="21" t="s">
        <v>36</v>
      </c>
      <c r="Y155" s="21" t="b">
        <f>TRUE()</f>
        <v>1</v>
      </c>
    </row>
    <row r="156" spans="1:29" ht="60" x14ac:dyDescent="0.25">
      <c r="A156" s="21" t="s">
        <v>1353</v>
      </c>
      <c r="B156" s="21" t="s">
        <v>38</v>
      </c>
      <c r="C156" s="24" t="b">
        <f>TRUE()</f>
        <v>1</v>
      </c>
      <c r="D156" s="21" t="s">
        <v>2067</v>
      </c>
      <c r="E156" s="21" t="s">
        <v>2068</v>
      </c>
      <c r="F156" s="21" t="s">
        <v>1353</v>
      </c>
      <c r="G156" s="21" t="s">
        <v>1360</v>
      </c>
      <c r="H156" s="21" t="s">
        <v>1541</v>
      </c>
      <c r="Q156" s="21" t="s">
        <v>1357</v>
      </c>
      <c r="Y156" s="21" t="b">
        <f>TRUE()</f>
        <v>1</v>
      </c>
    </row>
    <row r="157" spans="1:29" ht="30" x14ac:dyDescent="0.25">
      <c r="A157" s="21" t="s">
        <v>1354</v>
      </c>
      <c r="B157" s="21" t="s">
        <v>130</v>
      </c>
      <c r="C157" s="24" t="b">
        <f>TRUE()</f>
        <v>1</v>
      </c>
      <c r="D157" s="21" t="s">
        <v>2067</v>
      </c>
      <c r="E157" s="21" t="s">
        <v>2068</v>
      </c>
      <c r="F157" s="21" t="s">
        <v>1354</v>
      </c>
      <c r="G157" s="21" t="s">
        <v>2109</v>
      </c>
      <c r="Q157" s="21" t="s">
        <v>1357</v>
      </c>
      <c r="S157" s="21" t="s">
        <v>1358</v>
      </c>
      <c r="Y157" s="21" t="b">
        <f>TRUE()</f>
        <v>1</v>
      </c>
    </row>
    <row r="158" spans="1:29" x14ac:dyDescent="0.25">
      <c r="A158" s="21" t="s">
        <v>1355</v>
      </c>
      <c r="B158" s="21" t="s">
        <v>130</v>
      </c>
      <c r="C158" s="24" t="b">
        <f>TRUE()</f>
        <v>1</v>
      </c>
      <c r="D158" s="21" t="s">
        <v>2067</v>
      </c>
      <c r="E158" s="21" t="s">
        <v>2068</v>
      </c>
      <c r="F158" s="21" t="s">
        <v>1355</v>
      </c>
      <c r="G158" s="21" t="s">
        <v>2110</v>
      </c>
      <c r="Q158" s="21" t="s">
        <v>1357</v>
      </c>
      <c r="S158" s="21" t="s">
        <v>1359</v>
      </c>
      <c r="Y158" s="21" t="b">
        <f>TRUE()</f>
        <v>1</v>
      </c>
    </row>
    <row r="159" spans="1:29" ht="75" x14ac:dyDescent="0.25">
      <c r="A159" s="21" t="s">
        <v>1362</v>
      </c>
      <c r="B159" s="21" t="s">
        <v>38</v>
      </c>
      <c r="C159" s="24" t="b">
        <f>TRUE()</f>
        <v>1</v>
      </c>
      <c r="D159" s="21" t="s">
        <v>1036</v>
      </c>
      <c r="F159" s="21" t="s">
        <v>1362</v>
      </c>
      <c r="G159" s="21" t="s">
        <v>1363</v>
      </c>
      <c r="H159" s="21" t="s">
        <v>1542</v>
      </c>
      <c r="Y159" s="21" t="b">
        <f>TRUE()</f>
        <v>1</v>
      </c>
    </row>
    <row r="160" spans="1:29" ht="120" x14ac:dyDescent="0.25">
      <c r="A160" s="21" t="s">
        <v>1364</v>
      </c>
      <c r="B160" s="21" t="s">
        <v>38</v>
      </c>
      <c r="C160" s="24" t="b">
        <f>TRUE()</f>
        <v>1</v>
      </c>
      <c r="D160" s="21" t="s">
        <v>1036</v>
      </c>
      <c r="E160" s="21" t="s">
        <v>1370</v>
      </c>
      <c r="F160" s="21" t="s">
        <v>1364</v>
      </c>
      <c r="G160" s="21" t="s">
        <v>1372</v>
      </c>
      <c r="H160" s="21" t="s">
        <v>1545</v>
      </c>
      <c r="Q160" s="21" t="s">
        <v>2138</v>
      </c>
      <c r="Y160" s="21" t="b">
        <f>TRUE()</f>
        <v>1</v>
      </c>
    </row>
    <row r="161" spans="1:29" ht="30" x14ac:dyDescent="0.25">
      <c r="A161" s="21" t="s">
        <v>1365</v>
      </c>
      <c r="B161" s="21" t="s">
        <v>33</v>
      </c>
      <c r="C161" s="24" t="b">
        <f>TRUE()</f>
        <v>1</v>
      </c>
      <c r="D161" s="21" t="s">
        <v>1036</v>
      </c>
      <c r="E161" s="21" t="s">
        <v>1370</v>
      </c>
      <c r="F161" s="21" t="s">
        <v>1365</v>
      </c>
      <c r="G161" s="21" t="s">
        <v>1373</v>
      </c>
      <c r="H161" s="21" t="s">
        <v>1543</v>
      </c>
      <c r="Q161" s="21" t="s">
        <v>2138</v>
      </c>
      <c r="S161" s="21" t="s">
        <v>1371</v>
      </c>
      <c r="Y161" s="21" t="b">
        <f>TRUE()</f>
        <v>1</v>
      </c>
    </row>
    <row r="162" spans="1:29" ht="45" x14ac:dyDescent="0.25">
      <c r="A162" s="21" t="s">
        <v>1366</v>
      </c>
      <c r="B162" s="21" t="s">
        <v>33</v>
      </c>
      <c r="C162" s="24" t="b">
        <f>TRUE()</f>
        <v>1</v>
      </c>
      <c r="D162" s="21" t="s">
        <v>1036</v>
      </c>
      <c r="E162" s="21" t="s">
        <v>1370</v>
      </c>
      <c r="F162" s="21" t="s">
        <v>1366</v>
      </c>
      <c r="G162" s="21" t="s">
        <v>1374</v>
      </c>
      <c r="H162" s="38" t="s">
        <v>1544</v>
      </c>
      <c r="Q162" s="21" t="s">
        <v>2138</v>
      </c>
      <c r="S162" s="21" t="s">
        <v>1371</v>
      </c>
      <c r="Y162" s="21" t="b">
        <f>TRUE()</f>
        <v>1</v>
      </c>
    </row>
    <row r="163" spans="1:29" ht="45" x14ac:dyDescent="0.25">
      <c r="A163" s="21" t="s">
        <v>1367</v>
      </c>
      <c r="B163" s="21" t="s">
        <v>33</v>
      </c>
      <c r="C163" s="24" t="b">
        <f>TRUE()</f>
        <v>1</v>
      </c>
      <c r="D163" s="21" t="s">
        <v>1036</v>
      </c>
      <c r="E163" s="21" t="s">
        <v>1370</v>
      </c>
      <c r="F163" s="21" t="s">
        <v>1367</v>
      </c>
      <c r="G163" s="21" t="s">
        <v>1375</v>
      </c>
      <c r="H163" s="21" t="s">
        <v>1546</v>
      </c>
      <c r="Q163" s="21" t="s">
        <v>2138</v>
      </c>
      <c r="S163" s="21" t="s">
        <v>1371</v>
      </c>
      <c r="Y163" s="21" t="b">
        <f>TRUE()</f>
        <v>1</v>
      </c>
      <c r="AC163" s="68" t="s">
        <v>2167</v>
      </c>
    </row>
    <row r="164" spans="1:29" ht="30" x14ac:dyDescent="0.25">
      <c r="A164" s="21" t="s">
        <v>1369</v>
      </c>
      <c r="B164" s="21" t="s">
        <v>33</v>
      </c>
      <c r="C164" s="24" t="b">
        <f>TRUE()</f>
        <v>1</v>
      </c>
      <c r="D164" s="21" t="s">
        <v>1036</v>
      </c>
      <c r="E164" s="21" t="s">
        <v>1370</v>
      </c>
      <c r="F164" s="21" t="s">
        <v>1369</v>
      </c>
      <c r="G164" s="21" t="s">
        <v>1376</v>
      </c>
      <c r="H164" s="21" t="s">
        <v>1547</v>
      </c>
      <c r="Q164" s="21" t="s">
        <v>2138</v>
      </c>
      <c r="S164" s="21" t="s">
        <v>1371</v>
      </c>
      <c r="Y164" s="21" t="b">
        <f>TRUE()</f>
        <v>1</v>
      </c>
    </row>
    <row r="165" spans="1:29" ht="30" x14ac:dyDescent="0.25">
      <c r="A165" s="21" t="s">
        <v>1368</v>
      </c>
      <c r="B165" s="21" t="s">
        <v>33</v>
      </c>
      <c r="C165" s="24" t="b">
        <f>TRUE()</f>
        <v>1</v>
      </c>
      <c r="D165" s="21" t="s">
        <v>1036</v>
      </c>
      <c r="E165" s="21" t="s">
        <v>1370</v>
      </c>
      <c r="F165" s="21" t="s">
        <v>1368</v>
      </c>
      <c r="G165" s="21" t="s">
        <v>1377</v>
      </c>
      <c r="H165" s="21" t="s">
        <v>1548</v>
      </c>
      <c r="Q165" s="21" t="s">
        <v>2140</v>
      </c>
      <c r="S165" s="21" t="s">
        <v>1371</v>
      </c>
      <c r="Y165" s="21" t="b">
        <f>TRUE()</f>
        <v>1</v>
      </c>
    </row>
    <row r="166" spans="1:29" ht="60" x14ac:dyDescent="0.25">
      <c r="A166" s="21" t="s">
        <v>1378</v>
      </c>
      <c r="B166" s="21" t="s">
        <v>38</v>
      </c>
      <c r="C166" s="24" t="b">
        <f>TRUE()</f>
        <v>1</v>
      </c>
      <c r="D166" s="21" t="s">
        <v>1036</v>
      </c>
      <c r="E166" s="21" t="s">
        <v>1380</v>
      </c>
      <c r="F166" s="21" t="s">
        <v>1378</v>
      </c>
      <c r="G166" s="21" t="s">
        <v>1379</v>
      </c>
      <c r="H166" s="21" t="s">
        <v>1549</v>
      </c>
      <c r="Q166" s="77" t="s">
        <v>2139</v>
      </c>
      <c r="Y166" s="21" t="b">
        <f>TRUE()</f>
        <v>1</v>
      </c>
    </row>
    <row r="167" spans="1:29" ht="60" x14ac:dyDescent="0.25">
      <c r="A167" s="21" t="s">
        <v>1769</v>
      </c>
      <c r="B167" s="21" t="s">
        <v>33</v>
      </c>
      <c r="C167" s="24" t="b">
        <f>TRUE()</f>
        <v>1</v>
      </c>
      <c r="D167" s="21" t="s">
        <v>1036</v>
      </c>
      <c r="E167" s="21" t="s">
        <v>1380</v>
      </c>
      <c r="F167" s="21" t="s">
        <v>1769</v>
      </c>
      <c r="G167" s="21" t="s">
        <v>1566</v>
      </c>
      <c r="H167" s="21" t="s">
        <v>1958</v>
      </c>
      <c r="Q167" s="14"/>
      <c r="S167" s="21" t="s">
        <v>1381</v>
      </c>
      <c r="Y167" s="21" t="b">
        <f>TRUE()</f>
        <v>1</v>
      </c>
    </row>
    <row r="168" spans="1:29" ht="30" x14ac:dyDescent="0.25">
      <c r="A168" s="21" t="s">
        <v>1770</v>
      </c>
      <c r="B168" s="21" t="s">
        <v>33</v>
      </c>
      <c r="C168" s="24" t="b">
        <f>TRUE()</f>
        <v>1</v>
      </c>
      <c r="D168" s="21" t="s">
        <v>1036</v>
      </c>
      <c r="E168" s="21" t="s">
        <v>1380</v>
      </c>
      <c r="F168" s="21" t="s">
        <v>1770</v>
      </c>
      <c r="G168" s="21" t="s">
        <v>1567</v>
      </c>
      <c r="H168" s="21" t="s">
        <v>1959</v>
      </c>
      <c r="Q168" s="14"/>
      <c r="S168" s="21" t="s">
        <v>1381</v>
      </c>
      <c r="Y168" s="21" t="b">
        <f>TRUE()</f>
        <v>1</v>
      </c>
    </row>
    <row r="169" spans="1:29" ht="30" x14ac:dyDescent="0.25">
      <c r="A169" s="21" t="s">
        <v>1771</v>
      </c>
      <c r="B169" s="21" t="s">
        <v>33</v>
      </c>
      <c r="C169" s="24" t="b">
        <f>TRUE()</f>
        <v>1</v>
      </c>
      <c r="D169" s="21" t="s">
        <v>1036</v>
      </c>
      <c r="E169" s="21" t="s">
        <v>1380</v>
      </c>
      <c r="F169" s="21" t="s">
        <v>1771</v>
      </c>
      <c r="G169" s="21" t="s">
        <v>1568</v>
      </c>
      <c r="H169" s="21" t="s">
        <v>1960</v>
      </c>
      <c r="Q169" s="14"/>
      <c r="S169" s="21" t="s">
        <v>1381</v>
      </c>
      <c r="Y169" s="21" t="b">
        <f>TRUE()</f>
        <v>1</v>
      </c>
    </row>
    <row r="170" spans="1:29" ht="60" x14ac:dyDescent="0.25">
      <c r="A170" s="21" t="s">
        <v>1772</v>
      </c>
      <c r="B170" s="21" t="s">
        <v>33</v>
      </c>
      <c r="C170" s="24" t="b">
        <f>TRUE()</f>
        <v>1</v>
      </c>
      <c r="D170" s="21" t="s">
        <v>1036</v>
      </c>
      <c r="E170" s="21" t="s">
        <v>1380</v>
      </c>
      <c r="F170" s="21" t="s">
        <v>1772</v>
      </c>
      <c r="G170" s="21" t="s">
        <v>1569</v>
      </c>
      <c r="H170" s="21" t="s">
        <v>1961</v>
      </c>
      <c r="Q170" s="14"/>
      <c r="S170" s="21" t="s">
        <v>1381</v>
      </c>
      <c r="Y170" s="21" t="b">
        <f>TRUE()</f>
        <v>1</v>
      </c>
    </row>
    <row r="171" spans="1:29" ht="60" x14ac:dyDescent="0.25">
      <c r="A171" s="21" t="s">
        <v>1773</v>
      </c>
      <c r="B171" s="21" t="s">
        <v>33</v>
      </c>
      <c r="C171" s="24" t="b">
        <f>TRUE()</f>
        <v>1</v>
      </c>
      <c r="D171" s="21" t="s">
        <v>1036</v>
      </c>
      <c r="E171" s="21" t="s">
        <v>1380</v>
      </c>
      <c r="F171" s="21" t="s">
        <v>1773</v>
      </c>
      <c r="G171" s="21" t="s">
        <v>1570</v>
      </c>
      <c r="H171" s="21" t="s">
        <v>1962</v>
      </c>
      <c r="Q171" s="14"/>
      <c r="S171" s="21" t="s">
        <v>1381</v>
      </c>
      <c r="Y171" s="21" t="b">
        <f>TRUE()</f>
        <v>1</v>
      </c>
    </row>
    <row r="172" spans="1:29" ht="60" x14ac:dyDescent="0.25">
      <c r="A172" s="21" t="s">
        <v>1774</v>
      </c>
      <c r="B172" s="21" t="s">
        <v>33</v>
      </c>
      <c r="C172" s="24" t="b">
        <f>TRUE()</f>
        <v>1</v>
      </c>
      <c r="D172" s="21" t="s">
        <v>1036</v>
      </c>
      <c r="E172" s="21" t="s">
        <v>1380</v>
      </c>
      <c r="F172" s="21" t="s">
        <v>1774</v>
      </c>
      <c r="G172" s="21" t="s">
        <v>1571</v>
      </c>
      <c r="H172" s="21" t="s">
        <v>1963</v>
      </c>
      <c r="Q172" s="14"/>
      <c r="S172" s="21" t="s">
        <v>1381</v>
      </c>
      <c r="Y172" s="21" t="b">
        <f>TRUE()</f>
        <v>1</v>
      </c>
    </row>
    <row r="173" spans="1:29" ht="60" x14ac:dyDescent="0.25">
      <c r="A173" s="21" t="s">
        <v>1775</v>
      </c>
      <c r="B173" s="21" t="s">
        <v>33</v>
      </c>
      <c r="C173" s="24" t="b">
        <f>TRUE()</f>
        <v>1</v>
      </c>
      <c r="D173" s="21" t="s">
        <v>1036</v>
      </c>
      <c r="E173" s="21" t="s">
        <v>1380</v>
      </c>
      <c r="F173" s="21" t="s">
        <v>1775</v>
      </c>
      <c r="G173" s="21" t="s">
        <v>1572</v>
      </c>
      <c r="H173" s="21" t="s">
        <v>1964</v>
      </c>
      <c r="Q173" s="14"/>
      <c r="S173" s="21" t="s">
        <v>1381</v>
      </c>
      <c r="Y173" s="21" t="b">
        <f>TRUE()</f>
        <v>1</v>
      </c>
    </row>
    <row r="174" spans="1:29" ht="105" x14ac:dyDescent="0.25">
      <c r="A174" s="21" t="s">
        <v>2150</v>
      </c>
      <c r="B174" s="21" t="s">
        <v>38</v>
      </c>
      <c r="C174" s="24" t="b">
        <f>TRUE()</f>
        <v>1</v>
      </c>
      <c r="D174" s="21" t="s">
        <v>1036</v>
      </c>
      <c r="E174" s="21" t="s">
        <v>1036</v>
      </c>
      <c r="F174" s="21" t="s">
        <v>2150</v>
      </c>
      <c r="G174" s="21" t="s">
        <v>1382</v>
      </c>
      <c r="H174" s="21" t="s">
        <v>1550</v>
      </c>
      <c r="Q174" s="77" t="s">
        <v>2162</v>
      </c>
      <c r="Y174" s="21" t="b">
        <f>TRUE()</f>
        <v>1</v>
      </c>
      <c r="AC174" s="68" t="s">
        <v>2141</v>
      </c>
    </row>
    <row r="175" spans="1:29" ht="45" x14ac:dyDescent="0.25">
      <c r="A175" s="21" t="s">
        <v>2143</v>
      </c>
      <c r="B175" s="21" t="s">
        <v>33</v>
      </c>
      <c r="C175" s="24" t="b">
        <f>TRUE()</f>
        <v>1</v>
      </c>
      <c r="D175" s="21" t="s">
        <v>2142</v>
      </c>
      <c r="E175" s="21" t="s">
        <v>2142</v>
      </c>
      <c r="F175" s="21" t="s">
        <v>2143</v>
      </c>
      <c r="G175" s="21" t="s">
        <v>2195</v>
      </c>
      <c r="H175" s="21" t="s">
        <v>1965</v>
      </c>
      <c r="Q175" s="77" t="s">
        <v>2162</v>
      </c>
      <c r="S175" s="21" t="s">
        <v>1383</v>
      </c>
      <c r="Y175" s="21" t="b">
        <f>TRUE()</f>
        <v>1</v>
      </c>
    </row>
    <row r="176" spans="1:29" ht="45" x14ac:dyDescent="0.25">
      <c r="A176" s="21" t="s">
        <v>2144</v>
      </c>
      <c r="B176" s="21" t="s">
        <v>33</v>
      </c>
      <c r="C176" s="24" t="b">
        <f>TRUE()</f>
        <v>1</v>
      </c>
      <c r="D176" s="21" t="s">
        <v>2142</v>
      </c>
      <c r="E176" s="21" t="s">
        <v>2142</v>
      </c>
      <c r="F176" s="21" t="s">
        <v>2144</v>
      </c>
      <c r="G176" s="21" t="s">
        <v>2196</v>
      </c>
      <c r="H176" s="21" t="s">
        <v>1966</v>
      </c>
      <c r="Q176" s="77" t="s">
        <v>2162</v>
      </c>
      <c r="S176" s="21" t="s">
        <v>1383</v>
      </c>
      <c r="Y176" s="21" t="b">
        <f>TRUE()</f>
        <v>1</v>
      </c>
    </row>
    <row r="177" spans="1:29" ht="30" x14ac:dyDescent="0.25">
      <c r="A177" s="21" t="s">
        <v>2145</v>
      </c>
      <c r="B177" s="21" t="s">
        <v>33</v>
      </c>
      <c r="C177" s="24" t="b">
        <f>TRUE()</f>
        <v>1</v>
      </c>
      <c r="D177" s="21" t="s">
        <v>2142</v>
      </c>
      <c r="E177" s="21" t="s">
        <v>2142</v>
      </c>
      <c r="F177" s="21" t="s">
        <v>2145</v>
      </c>
      <c r="G177" s="21" t="s">
        <v>1573</v>
      </c>
      <c r="H177" s="21" t="s">
        <v>1969</v>
      </c>
      <c r="Q177" s="77" t="s">
        <v>2162</v>
      </c>
      <c r="S177" s="21" t="s">
        <v>1383</v>
      </c>
      <c r="Y177" s="21" t="b">
        <f>TRUE()</f>
        <v>1</v>
      </c>
    </row>
    <row r="178" spans="1:29" ht="45" x14ac:dyDescent="0.25">
      <c r="A178" s="21" t="s">
        <v>2146</v>
      </c>
      <c r="B178" s="21" t="s">
        <v>33</v>
      </c>
      <c r="C178" s="24" t="b">
        <f>TRUE()</f>
        <v>1</v>
      </c>
      <c r="D178" s="21" t="s">
        <v>2142</v>
      </c>
      <c r="E178" s="21" t="s">
        <v>2142</v>
      </c>
      <c r="F178" s="21" t="s">
        <v>2146</v>
      </c>
      <c r="G178" s="21" t="s">
        <v>1574</v>
      </c>
      <c r="H178" s="21" t="s">
        <v>1967</v>
      </c>
      <c r="Q178" s="77" t="s">
        <v>2162</v>
      </c>
      <c r="S178" s="21" t="s">
        <v>1383</v>
      </c>
      <c r="Y178" s="21" t="b">
        <f>TRUE()</f>
        <v>1</v>
      </c>
    </row>
    <row r="179" spans="1:29" ht="45" x14ac:dyDescent="0.25">
      <c r="A179" s="21" t="s">
        <v>2147</v>
      </c>
      <c r="B179" s="21" t="s">
        <v>33</v>
      </c>
      <c r="C179" s="24" t="b">
        <f>TRUE()</f>
        <v>1</v>
      </c>
      <c r="D179" s="21" t="s">
        <v>2142</v>
      </c>
      <c r="E179" s="21" t="s">
        <v>2142</v>
      </c>
      <c r="F179" s="21" t="s">
        <v>2147</v>
      </c>
      <c r="G179" s="21" t="s">
        <v>1575</v>
      </c>
      <c r="H179" s="21" t="s">
        <v>1968</v>
      </c>
      <c r="Q179" s="77" t="s">
        <v>2162</v>
      </c>
      <c r="S179" s="21" t="s">
        <v>1383</v>
      </c>
      <c r="Y179" s="21" t="b">
        <f>TRUE()</f>
        <v>1</v>
      </c>
    </row>
    <row r="180" spans="1:29" ht="45" x14ac:dyDescent="0.25">
      <c r="A180" s="21" t="s">
        <v>2148</v>
      </c>
      <c r="B180" s="21" t="s">
        <v>33</v>
      </c>
      <c r="C180" s="24" t="b">
        <f>TRUE()</f>
        <v>1</v>
      </c>
      <c r="D180" s="21" t="s">
        <v>2142</v>
      </c>
      <c r="E180" s="21" t="s">
        <v>2142</v>
      </c>
      <c r="F180" s="21" t="s">
        <v>2148</v>
      </c>
      <c r="G180" s="21" t="s">
        <v>1576</v>
      </c>
      <c r="H180" s="21" t="s">
        <v>1970</v>
      </c>
      <c r="Q180" s="77" t="s">
        <v>2162</v>
      </c>
      <c r="S180" s="21" t="s">
        <v>1383</v>
      </c>
      <c r="Y180" s="21" t="b">
        <f>TRUE()</f>
        <v>1</v>
      </c>
    </row>
    <row r="181" spans="1:29" ht="30" x14ac:dyDescent="0.25">
      <c r="A181" s="21" t="s">
        <v>2149</v>
      </c>
      <c r="B181" s="21" t="s">
        <v>33</v>
      </c>
      <c r="C181" s="24" t="b">
        <f>TRUE()</f>
        <v>1</v>
      </c>
      <c r="D181" s="21" t="s">
        <v>2142</v>
      </c>
      <c r="E181" s="21" t="s">
        <v>2142</v>
      </c>
      <c r="F181" s="21" t="s">
        <v>2149</v>
      </c>
      <c r="G181" s="21" t="s">
        <v>1577</v>
      </c>
      <c r="H181" s="21" t="s">
        <v>1971</v>
      </c>
      <c r="Q181" s="77" t="s">
        <v>2162</v>
      </c>
      <c r="S181" s="21" t="s">
        <v>1383</v>
      </c>
      <c r="Y181" s="21" t="b">
        <f>TRUE()</f>
        <v>1</v>
      </c>
    </row>
    <row r="182" spans="1:29" ht="90" x14ac:dyDescent="0.25">
      <c r="A182" s="21" t="s">
        <v>2151</v>
      </c>
      <c r="B182" s="21" t="s">
        <v>38</v>
      </c>
      <c r="C182" s="24" t="b">
        <f>TRUE()</f>
        <v>1</v>
      </c>
      <c r="D182" s="21" t="s">
        <v>2142</v>
      </c>
      <c r="E182" s="21" t="s">
        <v>2152</v>
      </c>
      <c r="F182" s="21" t="str">
        <f t="shared" ref="F182" si="2">A182</f>
        <v>barriersDisabilityIntro</v>
      </c>
      <c r="G182" s="21" t="s">
        <v>1384</v>
      </c>
      <c r="H182" s="21" t="s">
        <v>1551</v>
      </c>
      <c r="Q182" s="14"/>
      <c r="Y182" s="21" t="b">
        <f>TRUE()</f>
        <v>1</v>
      </c>
    </row>
    <row r="183" spans="1:29" ht="45" x14ac:dyDescent="0.25">
      <c r="A183" s="21" t="s">
        <v>2152</v>
      </c>
      <c r="B183" s="21" t="s">
        <v>33</v>
      </c>
      <c r="C183" s="24" t="b">
        <f>TRUE()</f>
        <v>1</v>
      </c>
      <c r="D183" s="21" t="s">
        <v>2142</v>
      </c>
      <c r="E183" s="21" t="s">
        <v>2152</v>
      </c>
      <c r="F183" s="21" t="s">
        <v>2153</v>
      </c>
      <c r="G183" s="21" t="s">
        <v>2195</v>
      </c>
      <c r="H183" s="21" t="s">
        <v>1965</v>
      </c>
      <c r="Q183" s="14"/>
      <c r="S183" s="21" t="s">
        <v>1383</v>
      </c>
      <c r="Y183" s="21" t="b">
        <f>TRUE()</f>
        <v>1</v>
      </c>
    </row>
    <row r="184" spans="1:29" ht="45" x14ac:dyDescent="0.25">
      <c r="A184" s="21" t="s">
        <v>2152</v>
      </c>
      <c r="B184" s="21" t="s">
        <v>33</v>
      </c>
      <c r="C184" s="24" t="b">
        <f>TRUE()</f>
        <v>1</v>
      </c>
      <c r="D184" s="21" t="s">
        <v>2142</v>
      </c>
      <c r="E184" s="21" t="s">
        <v>2152</v>
      </c>
      <c r="F184" s="21" t="s">
        <v>2154</v>
      </c>
      <c r="G184" s="21" t="s">
        <v>2197</v>
      </c>
      <c r="H184" s="21" t="s">
        <v>1966</v>
      </c>
      <c r="Q184" s="14"/>
      <c r="S184" s="21" t="s">
        <v>1383</v>
      </c>
      <c r="Y184" s="21" t="b">
        <f>TRUE()</f>
        <v>1</v>
      </c>
    </row>
    <row r="185" spans="1:29" ht="30" x14ac:dyDescent="0.25">
      <c r="A185" s="21" t="s">
        <v>2152</v>
      </c>
      <c r="B185" s="21" t="s">
        <v>33</v>
      </c>
      <c r="C185" s="24" t="b">
        <f>TRUE()</f>
        <v>1</v>
      </c>
      <c r="D185" s="21" t="s">
        <v>2142</v>
      </c>
      <c r="E185" s="21" t="s">
        <v>2152</v>
      </c>
      <c r="F185" s="21" t="s">
        <v>2155</v>
      </c>
      <c r="G185" s="21" t="s">
        <v>1573</v>
      </c>
      <c r="H185" s="21" t="s">
        <v>1969</v>
      </c>
      <c r="Q185" s="14"/>
      <c r="S185" s="21" t="s">
        <v>1383</v>
      </c>
      <c r="Y185" s="21" t="b">
        <f>TRUE()</f>
        <v>1</v>
      </c>
    </row>
    <row r="186" spans="1:29" ht="45" x14ac:dyDescent="0.25">
      <c r="A186" s="21" t="s">
        <v>2152</v>
      </c>
      <c r="B186" s="21" t="s">
        <v>33</v>
      </c>
      <c r="C186" s="24" t="b">
        <f>TRUE()</f>
        <v>1</v>
      </c>
      <c r="D186" s="21" t="s">
        <v>2142</v>
      </c>
      <c r="E186" s="21" t="s">
        <v>2152</v>
      </c>
      <c r="F186" s="21" t="s">
        <v>2156</v>
      </c>
      <c r="G186" s="21" t="s">
        <v>1574</v>
      </c>
      <c r="H186" s="21" t="s">
        <v>1967</v>
      </c>
      <c r="Q186" s="14"/>
      <c r="S186" s="21" t="s">
        <v>1383</v>
      </c>
      <c r="Y186" s="21" t="b">
        <f>TRUE()</f>
        <v>1</v>
      </c>
    </row>
    <row r="187" spans="1:29" ht="45" x14ac:dyDescent="0.25">
      <c r="A187" s="21" t="s">
        <v>2152</v>
      </c>
      <c r="B187" s="21" t="s">
        <v>33</v>
      </c>
      <c r="C187" s="24" t="b">
        <f>TRUE()</f>
        <v>1</v>
      </c>
      <c r="D187" s="21" t="s">
        <v>2142</v>
      </c>
      <c r="E187" s="21" t="s">
        <v>2152</v>
      </c>
      <c r="F187" s="21" t="s">
        <v>2157</v>
      </c>
      <c r="G187" s="21" t="s">
        <v>1575</v>
      </c>
      <c r="H187" s="21" t="s">
        <v>1968</v>
      </c>
      <c r="Q187" s="14"/>
      <c r="S187" s="21" t="s">
        <v>1383</v>
      </c>
      <c r="Y187" s="21" t="b">
        <f>TRUE()</f>
        <v>1</v>
      </c>
    </row>
    <row r="188" spans="1:29" ht="45" x14ac:dyDescent="0.25">
      <c r="A188" s="21" t="s">
        <v>2152</v>
      </c>
      <c r="B188" s="21" t="s">
        <v>33</v>
      </c>
      <c r="C188" s="24" t="b">
        <f>TRUE()</f>
        <v>1</v>
      </c>
      <c r="D188" s="21" t="s">
        <v>2142</v>
      </c>
      <c r="E188" s="21" t="s">
        <v>2152</v>
      </c>
      <c r="F188" s="21" t="s">
        <v>2158</v>
      </c>
      <c r="G188" s="21" t="s">
        <v>1576</v>
      </c>
      <c r="H188" s="21" t="s">
        <v>1970</v>
      </c>
      <c r="Q188" s="14"/>
      <c r="S188" s="21" t="s">
        <v>1383</v>
      </c>
      <c r="Y188" s="21" t="b">
        <f>TRUE()</f>
        <v>1</v>
      </c>
    </row>
    <row r="189" spans="1:29" ht="45" x14ac:dyDescent="0.25">
      <c r="A189" s="21" t="s">
        <v>2152</v>
      </c>
      <c r="B189" s="21" t="s">
        <v>33</v>
      </c>
      <c r="C189" s="24" t="b">
        <f>TRUE()</f>
        <v>1</v>
      </c>
      <c r="D189" s="21" t="s">
        <v>2142</v>
      </c>
      <c r="E189" s="21" t="s">
        <v>2152</v>
      </c>
      <c r="F189" s="21" t="s">
        <v>2159</v>
      </c>
      <c r="G189" s="21" t="s">
        <v>1578</v>
      </c>
      <c r="H189" s="21" t="s">
        <v>1972</v>
      </c>
      <c r="Q189" s="14"/>
      <c r="S189" s="21" t="s">
        <v>1383</v>
      </c>
      <c r="Y189" s="21" t="b">
        <f>TRUE()</f>
        <v>1</v>
      </c>
    </row>
    <row r="190" spans="1:29" ht="30" x14ac:dyDescent="0.25">
      <c r="A190" s="21" t="s">
        <v>2152</v>
      </c>
      <c r="B190" s="21" t="s">
        <v>33</v>
      </c>
      <c r="C190" s="24" t="b">
        <f>TRUE()</f>
        <v>1</v>
      </c>
      <c r="D190" s="21" t="s">
        <v>2142</v>
      </c>
      <c r="E190" s="21" t="s">
        <v>2152</v>
      </c>
      <c r="F190" s="21" t="s">
        <v>2160</v>
      </c>
      <c r="G190" s="21" t="s">
        <v>1577</v>
      </c>
      <c r="H190" s="21" t="s">
        <v>1971</v>
      </c>
      <c r="Q190" s="14"/>
      <c r="S190" s="21" t="s">
        <v>1383</v>
      </c>
      <c r="Y190" s="21" t="b">
        <f>TRUE()</f>
        <v>1</v>
      </c>
    </row>
    <row r="191" spans="1:29" ht="75" x14ac:dyDescent="0.25">
      <c r="A191" s="21" t="s">
        <v>2152</v>
      </c>
      <c r="B191" s="21" t="s">
        <v>33</v>
      </c>
      <c r="C191" s="24" t="b">
        <f>TRUE()</f>
        <v>1</v>
      </c>
      <c r="D191" s="21" t="s">
        <v>2142</v>
      </c>
      <c r="E191" s="21" t="s">
        <v>2152</v>
      </c>
      <c r="F191" s="21" t="s">
        <v>2161</v>
      </c>
      <c r="G191" s="21" t="s">
        <v>1579</v>
      </c>
      <c r="H191" s="21" t="s">
        <v>1973</v>
      </c>
      <c r="Q191" s="14"/>
      <c r="S191" s="21" t="s">
        <v>1383</v>
      </c>
      <c r="Y191" s="21" t="b">
        <f>TRUE()</f>
        <v>1</v>
      </c>
    </row>
    <row r="192" spans="1:29" ht="90" x14ac:dyDescent="0.25">
      <c r="A192" s="47" t="s">
        <v>346</v>
      </c>
      <c r="B192" s="47" t="s">
        <v>33</v>
      </c>
      <c r="C192" s="48" t="b">
        <f>TRUE()</f>
        <v>1</v>
      </c>
      <c r="D192" s="47" t="s">
        <v>347</v>
      </c>
      <c r="E192" s="47"/>
      <c r="F192" s="47" t="s">
        <v>348</v>
      </c>
      <c r="G192" s="47" t="s">
        <v>349</v>
      </c>
      <c r="H192" s="47" t="s">
        <v>350</v>
      </c>
      <c r="I192" s="47" t="s">
        <v>351</v>
      </c>
      <c r="J192" s="47" t="s">
        <v>352</v>
      </c>
      <c r="K192" s="47"/>
      <c r="L192" s="47"/>
      <c r="M192" s="47"/>
      <c r="N192" s="47"/>
      <c r="O192" s="47"/>
      <c r="P192" s="47"/>
      <c r="Q192" s="47"/>
      <c r="R192" s="47"/>
      <c r="S192" s="47" t="s">
        <v>128</v>
      </c>
      <c r="T192" s="47"/>
      <c r="U192" s="47"/>
      <c r="V192" s="47"/>
      <c r="W192" s="47"/>
      <c r="X192" s="47"/>
      <c r="Y192" s="21" t="b">
        <f>TRUE()</f>
        <v>1</v>
      </c>
      <c r="Z192" s="47"/>
      <c r="AA192" s="47"/>
      <c r="AB192" s="47"/>
      <c r="AC192" s="47"/>
    </row>
    <row r="193" spans="1:30" ht="30" x14ac:dyDescent="0.25">
      <c r="A193" s="47" t="s">
        <v>353</v>
      </c>
      <c r="B193" s="47" t="s">
        <v>56</v>
      </c>
      <c r="C193" s="48" t="b">
        <f>TRUE()</f>
        <v>1</v>
      </c>
      <c r="D193" s="47" t="s">
        <v>347</v>
      </c>
      <c r="E193" s="49"/>
      <c r="F193" s="47" t="str">
        <f>A193</f>
        <v>householdLongDistanceIntroMap</v>
      </c>
      <c r="G193" s="47"/>
      <c r="H193" s="47"/>
      <c r="I193" s="47"/>
      <c r="J193" s="50"/>
      <c r="K193" s="50"/>
      <c r="L193" s="50"/>
      <c r="M193" s="50"/>
      <c r="N193" s="50"/>
      <c r="O193" s="47"/>
      <c r="P193" s="47"/>
      <c r="Q193" s="47"/>
      <c r="R193" s="47"/>
      <c r="S193" s="50"/>
      <c r="T193" s="50"/>
      <c r="U193" s="50"/>
      <c r="V193" s="50"/>
      <c r="W193" s="50"/>
      <c r="X193" s="50"/>
      <c r="Y193" s="21" t="b">
        <f>TRUE()</f>
        <v>1</v>
      </c>
      <c r="Z193" s="50"/>
      <c r="AA193" s="50"/>
      <c r="AB193" s="50"/>
      <c r="AC193" s="47"/>
    </row>
    <row r="194" spans="1:30" ht="60" x14ac:dyDescent="0.25">
      <c r="A194" s="47" t="s">
        <v>354</v>
      </c>
      <c r="B194" s="47" t="s">
        <v>33</v>
      </c>
      <c r="C194" s="48" t="b">
        <f>TRUE()</f>
        <v>1</v>
      </c>
      <c r="D194" s="47" t="s">
        <v>347</v>
      </c>
      <c r="E194" s="49"/>
      <c r="F194" s="47" t="s">
        <v>355</v>
      </c>
      <c r="G194" s="47" t="s">
        <v>356</v>
      </c>
      <c r="H194" s="47" t="s">
        <v>357</v>
      </c>
      <c r="I194" s="47" t="s">
        <v>1007</v>
      </c>
      <c r="J194" s="47" t="s">
        <v>358</v>
      </c>
      <c r="K194" s="47"/>
      <c r="L194" s="47"/>
      <c r="M194" s="47"/>
      <c r="N194" s="47"/>
      <c r="O194" s="47"/>
      <c r="P194" s="47"/>
      <c r="Q194" s="47" t="s">
        <v>359</v>
      </c>
      <c r="R194" s="47"/>
      <c r="S194" s="50" t="s">
        <v>360</v>
      </c>
      <c r="T194" s="50"/>
      <c r="U194" s="50"/>
      <c r="V194" s="50"/>
      <c r="W194" s="50"/>
      <c r="X194" s="50"/>
      <c r="Y194" s="21" t="b">
        <f>TRUE()</f>
        <v>1</v>
      </c>
      <c r="Z194" s="50"/>
      <c r="AA194" s="50"/>
      <c r="AB194" s="50"/>
      <c r="AC194" s="47"/>
    </row>
    <row r="195" spans="1:30" ht="60" x14ac:dyDescent="0.25">
      <c r="A195" s="47" t="s">
        <v>361</v>
      </c>
      <c r="B195" s="47" t="s">
        <v>33</v>
      </c>
      <c r="C195" s="48" t="b">
        <f>TRUE()</f>
        <v>1</v>
      </c>
      <c r="D195" s="47" t="s">
        <v>347</v>
      </c>
      <c r="E195" s="49"/>
      <c r="F195" s="47" t="s">
        <v>362</v>
      </c>
      <c r="G195" s="47" t="s">
        <v>363</v>
      </c>
      <c r="H195" s="47" t="s">
        <v>1008</v>
      </c>
      <c r="I195" s="47" t="s">
        <v>1009</v>
      </c>
      <c r="J195" s="47" t="s">
        <v>1010</v>
      </c>
      <c r="K195" s="47"/>
      <c r="L195" s="47"/>
      <c r="M195" s="47"/>
      <c r="N195" s="47"/>
      <c r="O195" s="47"/>
      <c r="P195" s="47"/>
      <c r="Q195" s="47" t="s">
        <v>359</v>
      </c>
      <c r="R195" s="47"/>
      <c r="S195" s="50" t="s">
        <v>360</v>
      </c>
      <c r="T195" s="50"/>
      <c r="U195" s="50"/>
      <c r="V195" s="50"/>
      <c r="W195" s="50"/>
      <c r="X195" s="50"/>
      <c r="Y195" s="21" t="b">
        <f>TRUE()</f>
        <v>1</v>
      </c>
      <c r="Z195" s="50"/>
      <c r="AA195" s="50"/>
      <c r="AB195" s="50"/>
      <c r="AC195" s="47"/>
    </row>
    <row r="196" spans="1:30" ht="60" x14ac:dyDescent="0.25">
      <c r="A196" s="47" t="s">
        <v>364</v>
      </c>
      <c r="B196" s="47" t="s">
        <v>33</v>
      </c>
      <c r="C196" s="48" t="b">
        <f>TRUE()</f>
        <v>1</v>
      </c>
      <c r="D196" s="47" t="s">
        <v>347</v>
      </c>
      <c r="E196" s="49"/>
      <c r="F196" s="47" t="s">
        <v>365</v>
      </c>
      <c r="G196" s="47" t="s">
        <v>366</v>
      </c>
      <c r="H196" s="47" t="s">
        <v>1011</v>
      </c>
      <c r="I196" s="47" t="s">
        <v>1012</v>
      </c>
      <c r="J196" s="47" t="s">
        <v>1013</v>
      </c>
      <c r="K196" s="47"/>
      <c r="L196" s="47"/>
      <c r="M196" s="47"/>
      <c r="N196" s="47"/>
      <c r="O196" s="47"/>
      <c r="P196" s="47"/>
      <c r="Q196" s="47" t="s">
        <v>359</v>
      </c>
      <c r="R196" s="47"/>
      <c r="S196" s="50" t="s">
        <v>360</v>
      </c>
      <c r="T196" s="50"/>
      <c r="U196" s="50"/>
      <c r="V196" s="50"/>
      <c r="W196" s="50"/>
      <c r="X196" s="50"/>
      <c r="Y196" s="21" t="b">
        <f>TRUE()</f>
        <v>1</v>
      </c>
      <c r="Z196" s="50"/>
      <c r="AA196" s="50"/>
      <c r="AB196" s="50"/>
      <c r="AC196" s="47"/>
    </row>
    <row r="197" spans="1:30" ht="45" x14ac:dyDescent="0.25">
      <c r="A197" s="47" t="s">
        <v>367</v>
      </c>
      <c r="B197" s="47" t="s">
        <v>33</v>
      </c>
      <c r="C197" s="48" t="b">
        <f>TRUE()</f>
        <v>1</v>
      </c>
      <c r="D197" s="47" t="s">
        <v>347</v>
      </c>
      <c r="E197" s="47"/>
      <c r="F197" s="47" t="s">
        <v>368</v>
      </c>
      <c r="G197" s="47" t="s">
        <v>369</v>
      </c>
      <c r="H197" s="47" t="s">
        <v>1552</v>
      </c>
      <c r="I197" s="47"/>
      <c r="J197" s="47"/>
      <c r="K197" s="47"/>
      <c r="L197" s="47"/>
      <c r="M197" s="47"/>
      <c r="N197" s="47"/>
      <c r="O197" s="47"/>
      <c r="P197" s="47"/>
      <c r="Q197" s="47" t="s">
        <v>359</v>
      </c>
      <c r="R197" s="50"/>
      <c r="S197" s="47" t="s">
        <v>36</v>
      </c>
      <c r="T197" s="47"/>
      <c r="U197" s="47"/>
      <c r="V197" s="47"/>
      <c r="W197" s="47"/>
      <c r="X197" s="47"/>
      <c r="Y197" s="21" t="b">
        <f>TRUE()</f>
        <v>1</v>
      </c>
      <c r="Z197" s="47"/>
      <c r="AA197" s="47"/>
      <c r="AB197" s="47"/>
      <c r="AC197" s="47"/>
    </row>
    <row r="198" spans="1:30" ht="45" x14ac:dyDescent="0.25">
      <c r="A198" s="21" t="s">
        <v>370</v>
      </c>
      <c r="B198" s="21" t="s">
        <v>26</v>
      </c>
      <c r="C198" s="24" t="b">
        <f>TRUE()</f>
        <v>1</v>
      </c>
      <c r="D198" s="21" t="s">
        <v>347</v>
      </c>
      <c r="F198" s="21" t="s">
        <v>371</v>
      </c>
      <c r="G198" s="21" t="s">
        <v>372</v>
      </c>
      <c r="H198" s="21" t="s">
        <v>1553</v>
      </c>
      <c r="Q198" s="21" t="s">
        <v>373</v>
      </c>
      <c r="R198" s="21" t="s">
        <v>374</v>
      </c>
      <c r="Y198" s="21" t="b">
        <f>TRUE()</f>
        <v>1</v>
      </c>
    </row>
    <row r="199" spans="1:30" ht="30" x14ac:dyDescent="0.25">
      <c r="A199" s="21" t="s">
        <v>375</v>
      </c>
      <c r="B199" s="21" t="s">
        <v>80</v>
      </c>
      <c r="C199" s="24" t="b">
        <f>TRUE()</f>
        <v>1</v>
      </c>
      <c r="D199" s="21" t="s">
        <v>347</v>
      </c>
      <c r="F199" s="21" t="s">
        <v>375</v>
      </c>
      <c r="G199" s="21" t="s">
        <v>211</v>
      </c>
      <c r="H199" s="21" t="s">
        <v>212</v>
      </c>
    </row>
    <row r="200" spans="1:30" ht="30" x14ac:dyDescent="0.25">
      <c r="A200" s="21" t="s">
        <v>1267</v>
      </c>
      <c r="B200" s="21" t="s">
        <v>33</v>
      </c>
      <c r="C200" s="24" t="b">
        <f>TRUE()</f>
        <v>1</v>
      </c>
      <c r="D200" s="21" t="s">
        <v>377</v>
      </c>
      <c r="F200" s="21" t="s">
        <v>1267</v>
      </c>
      <c r="G200" s="21" t="s">
        <v>1269</v>
      </c>
      <c r="H200" s="21" t="s">
        <v>1554</v>
      </c>
      <c r="Q200" s="21" t="s">
        <v>1271</v>
      </c>
      <c r="S200" s="21" t="s">
        <v>1267</v>
      </c>
      <c r="Y200" s="21" t="b">
        <f>TRUE()</f>
        <v>1</v>
      </c>
    </row>
    <row r="201" spans="1:30" x14ac:dyDescent="0.25">
      <c r="A201" s="21" t="s">
        <v>1268</v>
      </c>
      <c r="B201" s="21" t="s">
        <v>33</v>
      </c>
      <c r="C201" s="24" t="b">
        <f>TRUE()</f>
        <v>1</v>
      </c>
      <c r="D201" s="21" t="s">
        <v>377</v>
      </c>
      <c r="F201" s="21" t="s">
        <v>1268</v>
      </c>
      <c r="G201" s="21" t="s">
        <v>1270</v>
      </c>
      <c r="H201" s="21" t="s">
        <v>1555</v>
      </c>
      <c r="Q201" s="21" t="s">
        <v>1272</v>
      </c>
      <c r="S201" s="21" t="s">
        <v>1268</v>
      </c>
      <c r="Y201" s="21" t="b">
        <f>TRUE()</f>
        <v>1</v>
      </c>
    </row>
    <row r="202" spans="1:30" ht="90" x14ac:dyDescent="0.25">
      <c r="A202" s="21" t="s">
        <v>397</v>
      </c>
      <c r="B202" s="21" t="s">
        <v>2045</v>
      </c>
      <c r="C202" s="24" t="b">
        <f>TRUE()</f>
        <v>1</v>
      </c>
      <c r="D202" s="21" t="s">
        <v>377</v>
      </c>
      <c r="F202" s="21" t="s">
        <v>398</v>
      </c>
      <c r="G202" s="21" t="s">
        <v>1558</v>
      </c>
      <c r="H202" s="21" t="s">
        <v>1556</v>
      </c>
      <c r="O202" s="21" t="s">
        <v>399</v>
      </c>
      <c r="Q202" s="21" t="s">
        <v>400</v>
      </c>
      <c r="S202" s="21" t="s">
        <v>2089</v>
      </c>
      <c r="Y202" s="21" t="b">
        <f>TRUE()</f>
        <v>1</v>
      </c>
      <c r="AD202" s="72" t="s">
        <v>2092</v>
      </c>
    </row>
    <row r="203" spans="1:30" ht="75" x14ac:dyDescent="0.25">
      <c r="A203" s="21" t="s">
        <v>401</v>
      </c>
      <c r="B203" s="21" t="s">
        <v>2045</v>
      </c>
      <c r="C203" s="24" t="b">
        <f>TRUE()</f>
        <v>1</v>
      </c>
      <c r="D203" s="21" t="s">
        <v>377</v>
      </c>
      <c r="F203" s="21" t="s">
        <v>402</v>
      </c>
      <c r="G203" s="21" t="s">
        <v>1557</v>
      </c>
      <c r="H203" s="21" t="s">
        <v>1017</v>
      </c>
      <c r="O203" s="21" t="s">
        <v>1292</v>
      </c>
      <c r="Q203" s="21" t="s">
        <v>1804</v>
      </c>
      <c r="S203" s="21" t="s">
        <v>2090</v>
      </c>
      <c r="Y203" s="21" t="b">
        <f>TRUE()</f>
        <v>1</v>
      </c>
      <c r="AD203" s="72" t="s">
        <v>2091</v>
      </c>
    </row>
    <row r="204" spans="1:30" ht="45" x14ac:dyDescent="0.25">
      <c r="A204" s="21" t="s">
        <v>382</v>
      </c>
      <c r="B204" s="21" t="s">
        <v>336</v>
      </c>
      <c r="C204" s="24" t="b">
        <f>TRUE()</f>
        <v>1</v>
      </c>
      <c r="D204" s="21" t="s">
        <v>377</v>
      </c>
      <c r="F204" s="21" t="s">
        <v>383</v>
      </c>
      <c r="G204" s="21" t="s">
        <v>1294</v>
      </c>
      <c r="H204" s="21" t="s">
        <v>1015</v>
      </c>
      <c r="S204" s="21" t="s">
        <v>384</v>
      </c>
      <c r="U204" s="21" t="s">
        <v>1295</v>
      </c>
      <c r="Y204" s="21" t="b">
        <f>TRUE()</f>
        <v>1</v>
      </c>
    </row>
    <row r="205" spans="1:30" ht="120" x14ac:dyDescent="0.25">
      <c r="A205" s="21" t="s">
        <v>1316</v>
      </c>
      <c r="B205" s="21" t="s">
        <v>33</v>
      </c>
      <c r="C205" s="24" t="b">
        <f>TRUE()</f>
        <v>1</v>
      </c>
      <c r="D205" s="21" t="s">
        <v>377</v>
      </c>
      <c r="F205" s="21" t="s">
        <v>1316</v>
      </c>
      <c r="G205" s="21" t="s">
        <v>1315</v>
      </c>
      <c r="H205" s="21" t="s">
        <v>1560</v>
      </c>
      <c r="Q205" s="21" t="s">
        <v>1329</v>
      </c>
      <c r="S205" s="21" t="s">
        <v>1319</v>
      </c>
      <c r="Y205" s="21" t="b">
        <f>TRUE()</f>
        <v>1</v>
      </c>
    </row>
    <row r="206" spans="1:30" ht="30" x14ac:dyDescent="0.25">
      <c r="A206" s="21" t="s">
        <v>1317</v>
      </c>
      <c r="B206" s="21" t="s">
        <v>130</v>
      </c>
      <c r="C206" s="24" t="b">
        <f>TRUE()</f>
        <v>1</v>
      </c>
      <c r="D206" s="21" t="s">
        <v>377</v>
      </c>
      <c r="F206" s="21" t="s">
        <v>1317</v>
      </c>
      <c r="G206" s="21" t="s">
        <v>1318</v>
      </c>
      <c r="H206" s="21" t="s">
        <v>1559</v>
      </c>
      <c r="Q206" s="21" t="s">
        <v>1328</v>
      </c>
      <c r="S206" s="21" t="s">
        <v>1317</v>
      </c>
      <c r="Y206" s="21" t="b">
        <f>TRUE()</f>
        <v>1</v>
      </c>
    </row>
    <row r="207" spans="1:30" ht="45" x14ac:dyDescent="0.25">
      <c r="A207" s="21" t="s">
        <v>385</v>
      </c>
      <c r="B207" s="21" t="s">
        <v>33</v>
      </c>
      <c r="C207" s="24" t="b">
        <f>TRUE()</f>
        <v>1</v>
      </c>
      <c r="D207" s="21" t="s">
        <v>377</v>
      </c>
      <c r="F207" s="21" t="s">
        <v>386</v>
      </c>
      <c r="G207" s="21" t="s">
        <v>1331</v>
      </c>
      <c r="H207" s="21" t="s">
        <v>1561</v>
      </c>
      <c r="R207" s="23"/>
      <c r="S207" s="21" t="s">
        <v>36</v>
      </c>
      <c r="Y207" s="21" t="b">
        <f>TRUE()</f>
        <v>1</v>
      </c>
    </row>
    <row r="208" spans="1:30" ht="45" x14ac:dyDescent="0.25">
      <c r="A208" s="21" t="s">
        <v>387</v>
      </c>
      <c r="B208" s="21" t="s">
        <v>26</v>
      </c>
      <c r="C208" s="24" t="b">
        <f>TRUE()</f>
        <v>1</v>
      </c>
      <c r="D208" s="21" t="s">
        <v>377</v>
      </c>
      <c r="F208" s="21" t="s">
        <v>388</v>
      </c>
      <c r="G208" s="21" t="s">
        <v>1332</v>
      </c>
      <c r="H208" s="21" t="s">
        <v>389</v>
      </c>
      <c r="Q208" s="21" t="s">
        <v>390</v>
      </c>
      <c r="R208" s="21" t="s">
        <v>374</v>
      </c>
      <c r="Y208" s="21" t="b">
        <f>TRUE()</f>
        <v>1</v>
      </c>
    </row>
    <row r="209" spans="1:29" ht="45" x14ac:dyDescent="0.25">
      <c r="A209" s="21" t="s">
        <v>391</v>
      </c>
      <c r="B209" s="21" t="s">
        <v>392</v>
      </c>
      <c r="C209" s="24" t="b">
        <f>TRUE()</f>
        <v>1</v>
      </c>
      <c r="D209" s="21" t="s">
        <v>377</v>
      </c>
      <c r="F209" s="21" t="s">
        <v>393</v>
      </c>
      <c r="G209" s="21" t="s">
        <v>1016</v>
      </c>
      <c r="H209" s="21" t="s">
        <v>394</v>
      </c>
      <c r="R209" s="21" t="s">
        <v>323</v>
      </c>
      <c r="Y209" s="21" t="b">
        <f>TRUE()</f>
        <v>1</v>
      </c>
    </row>
    <row r="210" spans="1:29" ht="45" x14ac:dyDescent="0.25">
      <c r="A210" s="21" t="s">
        <v>395</v>
      </c>
      <c r="B210" s="21" t="s">
        <v>38</v>
      </c>
      <c r="C210" s="24" t="b">
        <f>TRUE()</f>
        <v>1</v>
      </c>
      <c r="D210" s="21" t="s">
        <v>377</v>
      </c>
      <c r="F210" s="21" t="s">
        <v>1014</v>
      </c>
      <c r="G210" s="21" t="s">
        <v>1333</v>
      </c>
      <c r="H210" s="21" t="s">
        <v>396</v>
      </c>
      <c r="Y210" s="21" t="b">
        <f>TRUE()</f>
        <v>1</v>
      </c>
    </row>
    <row r="211" spans="1:29" ht="45" x14ac:dyDescent="0.25">
      <c r="A211" s="47" t="s">
        <v>403</v>
      </c>
      <c r="B211" s="47" t="s">
        <v>404</v>
      </c>
      <c r="C211" s="48" t="b">
        <f>TRUE()</f>
        <v>1</v>
      </c>
      <c r="D211" s="47" t="s">
        <v>377</v>
      </c>
      <c r="E211" s="47"/>
      <c r="F211" s="47" t="s">
        <v>405</v>
      </c>
      <c r="G211" s="47" t="s">
        <v>1018</v>
      </c>
      <c r="H211" s="47" t="s">
        <v>406</v>
      </c>
      <c r="I211" s="47"/>
      <c r="J211" s="47"/>
      <c r="K211" s="47"/>
      <c r="L211" s="47"/>
      <c r="M211" s="47"/>
      <c r="N211" s="47"/>
      <c r="O211" s="47"/>
      <c r="P211" s="47"/>
      <c r="Q211" s="47"/>
      <c r="R211" s="47" t="s">
        <v>407</v>
      </c>
      <c r="S211" s="47"/>
      <c r="T211" s="47"/>
      <c r="U211" s="47" t="s">
        <v>408</v>
      </c>
      <c r="V211" s="47"/>
      <c r="W211" s="47"/>
      <c r="X211" s="47"/>
      <c r="Y211" s="47" t="b">
        <f>TRUE()</f>
        <v>1</v>
      </c>
      <c r="Z211" s="47"/>
      <c r="AA211" s="47"/>
      <c r="AB211" s="47"/>
      <c r="AC211" s="47"/>
    </row>
    <row r="212" spans="1:29" ht="60" x14ac:dyDescent="0.25">
      <c r="A212" s="47" t="s">
        <v>409</v>
      </c>
      <c r="B212" s="47" t="s">
        <v>86</v>
      </c>
      <c r="C212" s="48" t="b">
        <f>TRUE()</f>
        <v>1</v>
      </c>
      <c r="D212" s="47" t="s">
        <v>377</v>
      </c>
      <c r="E212" s="47"/>
      <c r="F212" s="47" t="s">
        <v>410</v>
      </c>
      <c r="G212" s="47" t="s">
        <v>1019</v>
      </c>
      <c r="H212" s="47" t="s">
        <v>411</v>
      </c>
      <c r="I212" s="47"/>
      <c r="J212" s="47"/>
      <c r="K212" s="47"/>
      <c r="L212" s="47"/>
      <c r="M212" s="47"/>
      <c r="N212" s="47"/>
      <c r="O212" s="47"/>
      <c r="P212" s="47"/>
      <c r="Q212" s="47"/>
      <c r="R212" s="47" t="s">
        <v>323</v>
      </c>
      <c r="S212" s="47"/>
      <c r="T212" s="47"/>
      <c r="U212" s="47"/>
      <c r="V212" s="47"/>
      <c r="W212" s="47"/>
      <c r="X212" s="47"/>
      <c r="Y212" s="47" t="b">
        <f>TRUE()</f>
        <v>1</v>
      </c>
      <c r="Z212" s="47"/>
      <c r="AA212" s="47"/>
      <c r="AB212" s="47"/>
      <c r="AC212" s="47"/>
    </row>
    <row r="213" spans="1:29" ht="45" x14ac:dyDescent="0.25">
      <c r="A213" s="47" t="s">
        <v>412</v>
      </c>
      <c r="B213" s="47" t="s">
        <v>404</v>
      </c>
      <c r="C213" s="48" t="b">
        <f>TRUE()</f>
        <v>1</v>
      </c>
      <c r="D213" s="47" t="s">
        <v>377</v>
      </c>
      <c r="E213" s="47"/>
      <c r="F213" s="47" t="s">
        <v>413</v>
      </c>
      <c r="G213" s="47" t="s">
        <v>1020</v>
      </c>
      <c r="H213" s="47" t="s">
        <v>414</v>
      </c>
      <c r="I213" s="47"/>
      <c r="J213" s="47"/>
      <c r="K213" s="47"/>
      <c r="L213" s="47"/>
      <c r="M213" s="47"/>
      <c r="N213" s="47"/>
      <c r="O213" s="47"/>
      <c r="P213" s="47"/>
      <c r="Q213" s="47"/>
      <c r="R213" s="47" t="s">
        <v>407</v>
      </c>
      <c r="S213" s="47"/>
      <c r="T213" s="47"/>
      <c r="U213" s="47" t="s">
        <v>415</v>
      </c>
      <c r="V213" s="47"/>
      <c r="W213" s="47"/>
      <c r="X213" s="47"/>
      <c r="Y213" s="47" t="b">
        <f>TRUE()</f>
        <v>1</v>
      </c>
      <c r="Z213" s="47"/>
      <c r="AA213" s="47"/>
      <c r="AB213" s="47"/>
      <c r="AC213" s="47"/>
    </row>
    <row r="214" spans="1:29" ht="60" x14ac:dyDescent="0.25">
      <c r="A214" s="47" t="s">
        <v>416</v>
      </c>
      <c r="B214" s="47" t="s">
        <v>404</v>
      </c>
      <c r="C214" s="48" t="b">
        <f>TRUE()</f>
        <v>1</v>
      </c>
      <c r="D214" s="47" t="s">
        <v>377</v>
      </c>
      <c r="E214" s="47"/>
      <c r="F214" s="47" t="s">
        <v>417</v>
      </c>
      <c r="G214" s="47" t="s">
        <v>1021</v>
      </c>
      <c r="H214" s="47" t="s">
        <v>418</v>
      </c>
      <c r="I214" s="47"/>
      <c r="J214" s="47"/>
      <c r="K214" s="47"/>
      <c r="L214" s="47"/>
      <c r="M214" s="47"/>
      <c r="N214" s="47"/>
      <c r="O214" s="47"/>
      <c r="P214" s="47"/>
      <c r="Q214" s="47"/>
      <c r="R214" s="47" t="s">
        <v>407</v>
      </c>
      <c r="S214" s="47"/>
      <c r="T214" s="47"/>
      <c r="U214" s="47" t="s">
        <v>419</v>
      </c>
      <c r="V214" s="47"/>
      <c r="W214" s="47"/>
      <c r="X214" s="47"/>
      <c r="Y214" s="47" t="b">
        <f>TRUE()</f>
        <v>1</v>
      </c>
      <c r="Z214" s="47"/>
      <c r="AA214" s="47"/>
      <c r="AB214" s="47"/>
      <c r="AC214" s="47"/>
    </row>
    <row r="215" spans="1:29" ht="45" x14ac:dyDescent="0.25">
      <c r="A215" s="47" t="s">
        <v>420</v>
      </c>
      <c r="B215" s="47" t="s">
        <v>404</v>
      </c>
      <c r="C215" s="48" t="b">
        <f>TRUE()</f>
        <v>1</v>
      </c>
      <c r="D215" s="47" t="s">
        <v>377</v>
      </c>
      <c r="E215" s="47"/>
      <c r="F215" s="47" t="s">
        <v>421</v>
      </c>
      <c r="G215" s="47" t="s">
        <v>1022</v>
      </c>
      <c r="H215" s="47" t="s">
        <v>422</v>
      </c>
      <c r="I215" s="47"/>
      <c r="J215" s="47"/>
      <c r="K215" s="47"/>
      <c r="L215" s="47"/>
      <c r="M215" s="47"/>
      <c r="N215" s="47"/>
      <c r="O215" s="47"/>
      <c r="P215" s="47"/>
      <c r="Q215" s="47"/>
      <c r="R215" s="47" t="s">
        <v>407</v>
      </c>
      <c r="S215" s="47"/>
      <c r="T215" s="47"/>
      <c r="U215" s="47" t="s">
        <v>423</v>
      </c>
      <c r="V215" s="47"/>
      <c r="W215" s="47"/>
      <c r="X215" s="47"/>
      <c r="Y215" s="47" t="b">
        <f>TRUE()</f>
        <v>1</v>
      </c>
      <c r="Z215" s="47"/>
      <c r="AA215" s="47"/>
      <c r="AB215" s="47"/>
      <c r="AC215" s="47"/>
    </row>
    <row r="216" spans="1:29" ht="45" x14ac:dyDescent="0.25">
      <c r="A216" s="47" t="s">
        <v>424</v>
      </c>
      <c r="B216" s="47" t="s">
        <v>33</v>
      </c>
      <c r="C216" s="48" t="b">
        <f>TRUE()</f>
        <v>1</v>
      </c>
      <c r="D216" s="47" t="s">
        <v>377</v>
      </c>
      <c r="E216" s="47"/>
      <c r="F216" s="47" t="s">
        <v>425</v>
      </c>
      <c r="G216" s="47" t="s">
        <v>1023</v>
      </c>
      <c r="H216" s="47" t="s">
        <v>426</v>
      </c>
      <c r="I216" s="47"/>
      <c r="J216" s="47"/>
      <c r="K216" s="47"/>
      <c r="L216" s="47"/>
      <c r="M216" s="47"/>
      <c r="N216" s="47"/>
      <c r="O216" s="47"/>
      <c r="P216" s="47"/>
      <c r="Q216" s="47"/>
      <c r="R216" s="47" t="s">
        <v>323</v>
      </c>
      <c r="S216" s="47" t="s">
        <v>128</v>
      </c>
      <c r="T216" s="47"/>
      <c r="U216" s="47"/>
      <c r="V216" s="47"/>
      <c r="W216" s="47"/>
      <c r="X216" s="47"/>
      <c r="Y216" s="47" t="b">
        <f>TRUE()</f>
        <v>1</v>
      </c>
      <c r="Z216" s="47"/>
      <c r="AA216" s="47"/>
      <c r="AB216" s="47"/>
      <c r="AC216" s="47"/>
    </row>
    <row r="217" spans="1:29" ht="30" x14ac:dyDescent="0.25">
      <c r="A217" s="21" t="s">
        <v>427</v>
      </c>
      <c r="B217" s="21" t="s">
        <v>80</v>
      </c>
      <c r="C217" s="24" t="b">
        <f>TRUE()</f>
        <v>1</v>
      </c>
      <c r="D217" s="21" t="s">
        <v>377</v>
      </c>
      <c r="F217" s="21" t="s">
        <v>427</v>
      </c>
      <c r="G217" s="21" t="s">
        <v>428</v>
      </c>
      <c r="H217" s="21" t="s">
        <v>429</v>
      </c>
    </row>
    <row r="218" spans="1:29" ht="409.5" x14ac:dyDescent="0.25">
      <c r="A218" s="21" t="s">
        <v>430</v>
      </c>
      <c r="B218" s="21" t="s">
        <v>38</v>
      </c>
      <c r="C218" s="24" t="b">
        <f>TRUE()</f>
        <v>1</v>
      </c>
      <c r="D218" s="21" t="s">
        <v>431</v>
      </c>
      <c r="F218" s="21" t="s">
        <v>430</v>
      </c>
      <c r="G218" s="21" t="s">
        <v>1334</v>
      </c>
      <c r="H218" s="21" t="s">
        <v>1562</v>
      </c>
      <c r="Y218" s="21" t="b">
        <f>TRUE()</f>
        <v>1</v>
      </c>
    </row>
    <row r="221" spans="1:29" x14ac:dyDescent="0.25">
      <c r="U221" s="22"/>
      <c r="V221" s="22"/>
      <c r="W221" s="22"/>
      <c r="X221" s="22"/>
      <c r="Y221" s="22"/>
      <c r="Z221" s="22"/>
      <c r="AA221" s="22"/>
      <c r="AB221" s="22"/>
      <c r="AC221" s="55"/>
    </row>
    <row r="222" spans="1:29" x14ac:dyDescent="0.25">
      <c r="U222" s="22"/>
      <c r="V222" s="22"/>
      <c r="W222" s="22"/>
      <c r="X222" s="22"/>
      <c r="Y222" s="22"/>
      <c r="Z222" s="22"/>
      <c r="AA222" s="22"/>
      <c r="AB222" s="22"/>
      <c r="AC222" s="55"/>
    </row>
    <row r="223" spans="1:29" x14ac:dyDescent="0.25">
      <c r="U223" s="22"/>
      <c r="V223" s="22"/>
      <c r="W223" s="22"/>
      <c r="X223" s="22"/>
      <c r="Y223" s="22"/>
      <c r="Z223" s="22"/>
      <c r="AA223" s="22"/>
      <c r="AB223" s="22"/>
      <c r="AC223" s="55"/>
    </row>
    <row r="224" spans="1:29" x14ac:dyDescent="0.25">
      <c r="U224" s="22"/>
      <c r="V224" s="22"/>
      <c r="W224" s="22"/>
      <c r="X224" s="22"/>
      <c r="Y224" s="22"/>
      <c r="Z224" s="22"/>
      <c r="AA224" s="22"/>
      <c r="AB224" s="22"/>
      <c r="AC224" s="55"/>
    </row>
    <row r="225" spans="21:29" x14ac:dyDescent="0.25">
      <c r="U225" s="22"/>
      <c r="V225" s="22"/>
      <c r="W225" s="22"/>
      <c r="X225" s="22"/>
      <c r="Y225" s="22"/>
      <c r="Z225" s="22"/>
      <c r="AA225" s="22"/>
      <c r="AB225" s="22"/>
      <c r="AC225" s="55"/>
    </row>
    <row r="226" spans="21:29" x14ac:dyDescent="0.25">
      <c r="U226" s="22"/>
      <c r="V226" s="22"/>
      <c r="W226" s="22"/>
      <c r="X226" s="22"/>
      <c r="Y226" s="22"/>
      <c r="Z226" s="22"/>
      <c r="AA226" s="22"/>
      <c r="AB226" s="22"/>
      <c r="AC226" s="55"/>
    </row>
    <row r="227" spans="21:29" x14ac:dyDescent="0.25">
      <c r="U227" s="22"/>
      <c r="V227" s="22"/>
      <c r="W227" s="22"/>
      <c r="X227" s="22"/>
      <c r="Y227" s="22"/>
      <c r="Z227" s="22"/>
      <c r="AA227" s="22"/>
      <c r="AB227" s="22"/>
      <c r="AC227" s="55"/>
    </row>
  </sheetData>
  <autoFilter ref="A1:AC218" xr:uid="{00000000-0001-0000-0000-000000000000}"/>
  <conditionalFormatting sqref="C1:C217 C219:C1048576">
    <cfRule type="cellIs" dxfId="12" priority="13" operator="equal">
      <formula>1</formula>
    </cfRule>
  </conditionalFormatting>
  <conditionalFormatting sqref="C1:C1048576">
    <cfRule type="containsText" dxfId="11" priority="12" operator="containsText" text="FALSE">
      <formula>NOT(ISERROR(SEARCH("FALSE",C1)))</formula>
    </cfRule>
  </conditionalFormatting>
  <conditionalFormatting sqref="C102:C105">
    <cfRule type="containsText" dxfId="10" priority="2" operator="containsText" text="FALSE">
      <formula>NOT(ISERROR(SEARCH("FALSE",C102)))</formula>
    </cfRule>
  </conditionalFormatting>
  <conditionalFormatting sqref="C135">
    <cfRule type="containsText" dxfId="9" priority="18" operator="containsText" text="FALSE">
      <formula>NOT(ISERROR(SEARCH("FALSE",C135)))</formula>
    </cfRule>
    <cfRule type="cellIs" dxfId="8" priority="19" operator="equal">
      <formula>1</formula>
    </cfRule>
  </conditionalFormatting>
  <conditionalFormatting sqref="C218">
    <cfRule type="containsText" dxfId="7" priority="10" operator="containsText" text="TRUE">
      <formula>NOT(ISERROR(SEARCH("TRUE",C218)))</formula>
    </cfRule>
  </conditionalFormatting>
  <conditionalFormatting sqref="R218">
    <cfRule type="expression" dxfId="6" priority="7">
      <formula>AND($B1048546="Custom",  $B1048546&lt;&gt;"", ROW(R1048546)&lt;&gt;1)</formula>
    </cfRule>
  </conditionalFormatting>
  <conditionalFormatting sqref="S204:S205">
    <cfRule type="expression" dxfId="5" priority="16">
      <formula>AND($B204="Custom",  $B204&lt;&gt;"", ROW(S204)&lt;&gt;1)</formula>
    </cfRule>
    <cfRule type="expression" dxfId="4" priority="17">
      <formula>AND($B204&lt;&gt;"Select", $B204&lt;&gt;"Checkbox", $B204&lt;&gt;"Radio",  $B204&lt;&gt;"", ROW(S204)&lt;&gt;1)</formula>
    </cfRule>
  </conditionalFormatting>
  <conditionalFormatting sqref="U213">
    <cfRule type="expression" dxfId="3" priority="23">
      <formula>AND($B1048543="Custom",  $B1048543&lt;&gt;"", ROW(U1048543)&lt;&gt;1)</formula>
    </cfRule>
  </conditionalFormatting>
  <conditionalFormatting sqref="U213:V215">
    <cfRule type="expression" dxfId="2" priority="14">
      <formula>AND($B213&lt;&gt;"Range", $B213&lt;&gt;"", ROW(U213)&lt;&gt;1)</formula>
    </cfRule>
  </conditionalFormatting>
  <conditionalFormatting sqref="U214:V215">
    <cfRule type="expression" dxfId="1" priority="15">
      <formula>AND(#REF!="Custom",  #REF!&lt;&gt;"", ROW(#REF!)&lt;&gt;1)</formula>
    </cfRule>
  </conditionalFormatting>
  <hyperlinks>
    <hyperlink ref="AD2" r:id="rId1" display="https://github.com/chairemobilite/od_mtl/issues/5" xr:uid="{D47769AC-A55F-45E0-85D7-8E02580C1C9D}"/>
    <hyperlink ref="AD11" r:id="rId2" display="https://github.com/chairemobilite/od_mtl/issues/6" xr:uid="{25B8782B-8F31-47C7-8391-D2135D81578E}"/>
    <hyperlink ref="AD16" r:id="rId3" display="https://github.com/chairemobilite/od_mtl/issues/7" xr:uid="{F6AFC978-EFF2-49FD-9BF9-EFAF1C40C3BD}"/>
    <hyperlink ref="AD10" r:id="rId4" display="https://github.com/chairemobilite/od_mtl/issues/8" xr:uid="{FA8CE148-CAEA-440D-A73F-188A925290E7}"/>
    <hyperlink ref="AD25" r:id="rId5" display="https://github.com/chairemobilite/od_mtl/issues/9" xr:uid="{AFD9345B-37B2-4ADF-8DF6-D1C2993745DB}"/>
    <hyperlink ref="AD34" r:id="rId6" display="https://github.com/chairemobilite/od_mtl/issues/10" xr:uid="{3F152AAC-DC2D-47EF-82EB-BCA4D9B70C66}"/>
    <hyperlink ref="AD36" r:id="rId7" display="https://github.com/chairemobilite/od_mtl/issues/11" xr:uid="{3C14EEFF-8252-4325-B7E6-7CDA5196EA3E}"/>
    <hyperlink ref="AD37" r:id="rId8" display="https://github.com/chairemobilite/od_mtl/issues/12" xr:uid="{8A19F1D3-F90B-4DDE-B9CF-808DC830AEF1}"/>
    <hyperlink ref="AD72" r:id="rId9" display="https://github.com/chairemobilite/od_mtl/issues/13" xr:uid="{3D4FD78F-5131-452F-8C65-93997E5B65C4}"/>
    <hyperlink ref="AD74" r:id="rId10" display="https://github.com/chairemobilite/od_mtl/issues/14" xr:uid="{EC04E6D4-876D-4F1B-B91F-BFDB455CA3B1}"/>
    <hyperlink ref="AD99" r:id="rId11" display="https://github.com/chairemobilite/od_mtl/issues/15" xr:uid="{705C3ABD-E783-494F-938F-7926588AA13A}"/>
    <hyperlink ref="AD101" r:id="rId12" display="https://github.com/chairemobilite/od_mtl/issues/16" xr:uid="{599E17EA-E95E-49D2-8838-CC1A4597A753}"/>
    <hyperlink ref="AD106" r:id="rId13" display="https://github.com/chairemobilite/od_mtl/issues/17" xr:uid="{A912E814-0CAF-48FE-946C-F76A0504A7C2}"/>
    <hyperlink ref="AD111" r:id="rId14" display="https://github.com/chairemobilite/od_mtl/issues/19" xr:uid="{9E576F8D-C87A-4B1A-8055-7811A71E9055}"/>
    <hyperlink ref="AD114" r:id="rId15" display="https://github.com/chairemobilite/od_mtl/issues/20" xr:uid="{1458F6B2-880F-4EC2-A214-08D3F87597DF}"/>
    <hyperlink ref="AD117" r:id="rId16" display="https://github.com/chairemobilite/od_mtl/issues/24" xr:uid="{8AF620DD-979D-4BCF-8F51-736DA2A6188F}"/>
    <hyperlink ref="AD115" r:id="rId17" display="https://github.com/chairemobilite/od_mtl/issues/23" xr:uid="{B840F50E-0AAD-4FD1-9C37-E86DEA99FBA1}"/>
    <hyperlink ref="AD116" r:id="rId18" display="https://github.com/chairemobilite/od_mtl/issues/23" xr:uid="{25D8549A-B786-4AF2-AFD4-E8300C4DBB76}"/>
    <hyperlink ref="AD113" r:id="rId19" display="https://github.com/chairemobilite/od_mtl/issues/22" xr:uid="{ABD307E5-6490-4033-828B-135D36582FF0}"/>
    <hyperlink ref="AD109" r:id="rId20" display="https://github.com/chairemobilite/od_mtl/issues/21" xr:uid="{D5C59A60-383C-415B-B424-4D5E83DF6940}"/>
    <hyperlink ref="AD110" r:id="rId21" display="https://github.com/chairemobilite/od_mtl/issues/21" xr:uid="{1103AED8-570E-49FC-8DC0-9A2F9B40259D}"/>
    <hyperlink ref="AD119" r:id="rId22" display="https://github.com/chairemobilite/od_mtl/issues/26" xr:uid="{D205BAB5-30D8-4A18-BD43-B8A153339DE2}"/>
    <hyperlink ref="AD120" r:id="rId23" display="https://github.com/chairemobilite/od_mtl/issues/27" xr:uid="{484330E8-D1BE-48F3-9D7C-BC1A93B5BC66}"/>
    <hyperlink ref="AD121" r:id="rId24" display="https://github.com/chairemobilite/od_mtl/issues/28" xr:uid="{469B0554-DDAF-46AF-9814-94C9BE8C8C39}"/>
    <hyperlink ref="AD122" r:id="rId25" display="https://github.com/chairemobilite/od_mtl/issues/29" xr:uid="{16699C06-016A-45B8-807F-3B343334252F}"/>
    <hyperlink ref="AD123" r:id="rId26" display="https://github.com/chairemobilite/od_mtl/issues/30" xr:uid="{E4D07221-184D-4E1C-8C1C-9DA85A98EE89}"/>
    <hyperlink ref="AD124" r:id="rId27" display="https://github.com/chairemobilite/od_mtl/issues/31" xr:uid="{B8277F6F-24F7-41B4-A898-B2494FE4881C}"/>
    <hyperlink ref="AD125" r:id="rId28" display="https://github.com/chairemobilite/od_mtl/issues/32" xr:uid="{59D67531-C5A0-489B-A9D6-0163526CFC4F}"/>
    <hyperlink ref="AD128" r:id="rId29" display="https://github.com/chairemobilite/od_mtl/issues/33" xr:uid="{8B2AE57A-974E-4C52-8C0E-A7CE20FEE9B6}"/>
    <hyperlink ref="AD129" r:id="rId30" display="https://github.com/chairemobilite/od_mtl/issues/34" xr:uid="{7CE4708A-E205-469A-9A81-BCA9D02202F8}"/>
    <hyperlink ref="AD130" r:id="rId31" display="https://github.com/chairemobilite/od_mtl/issues/36" xr:uid="{7253F72D-BF8C-4910-BBFC-ADEB86497D02}"/>
    <hyperlink ref="AD132" r:id="rId32" display="https://github.com/chairemobilite/od_mtl/issues/37" xr:uid="{7C2DE78C-BCDE-431C-8249-FCDC849F6124}"/>
    <hyperlink ref="AD133" r:id="rId33" display="https://github.com/chairemobilite/od_mtl/issues/38" xr:uid="{274AC3D2-303E-471D-AA94-784CD9CB9504}"/>
    <hyperlink ref="AD138" r:id="rId34" display="https://github.com/chairemobilite/od_mtl/issues/39" xr:uid="{B88F8C79-BCF2-43B0-A128-0994F16775A9}"/>
    <hyperlink ref="AD140" r:id="rId35" display="https://github.com/chairemobilite/od_mtl/issues/40" xr:uid="{A256B180-4A11-4C73-8F3D-244BD74F5698}"/>
    <hyperlink ref="AD141" r:id="rId36" display="https://github.com/chairemobilite/od_mtl/issues/40" xr:uid="{98091CD6-3819-4017-AE63-F27591DAE8BE}"/>
    <hyperlink ref="AD142" r:id="rId37" display="https://github.com/chairemobilite/od_mtl/issues/40" xr:uid="{579014B6-42A2-4985-B10C-14344DE05E59}"/>
    <hyperlink ref="AD139" r:id="rId38" display="https://github.com/chairemobilite/od_mtl/issues/39" xr:uid="{3E06730D-687F-4007-88C0-CBD367C566E6}"/>
    <hyperlink ref="AD143" r:id="rId39" display="https://github.com/chairemobilite/od_mtl/issues/40" xr:uid="{12C260AB-A9B1-46AC-BFCF-E102E0A5F39D}"/>
    <hyperlink ref="AD38" r:id="rId40" display="https://github.com/chairemobilite/od_mtl/issues/42" xr:uid="{EDC07B49-3EE8-4D35-B20F-5E7D3F6C0F5B}"/>
    <hyperlink ref="AD118" r:id="rId41" display="https://github.com/chairemobilite/od_mtl/issues/25" xr:uid="{D9E5C357-0D68-47DD-A76A-ECCCD2720B53}"/>
    <hyperlink ref="AD62" r:id="rId42" display="https://github.com/chairemobilite/od_mtl/issues/45" xr:uid="{330DB88C-5CE2-4002-90EB-8C47AA290698}"/>
    <hyperlink ref="AD63" r:id="rId43" display="https://github.com/chairemobilite/od_mtl/issues/45" xr:uid="{A2F49FD9-F378-48AB-BE96-416E4C180619}"/>
    <hyperlink ref="AD20" r:id="rId44" display="https://github.com/chairemobilite/od_mtl/issues/47" xr:uid="{CA323B7D-6228-4FC3-9D18-1F0563406A16}"/>
    <hyperlink ref="AD47" r:id="rId45" display="https://github.com/chairemobilite/od_mtl/issues/49" xr:uid="{4FA61E51-CA43-4D35-A86B-FEE7E0765331}"/>
    <hyperlink ref="AD56" r:id="rId46" display="https://github.com/chairemobilite/od_mtl/issues/50" xr:uid="{60C9B4B5-F516-4CEA-8659-E7F862CDA4D0}"/>
    <hyperlink ref="AD75" r:id="rId47" display="https://github.com/chairemobilite/od_mtl/issues/52" xr:uid="{8F92F2E3-42CD-444A-B600-D73AA106ED0B}"/>
    <hyperlink ref="AD108" r:id="rId48" display="https://github.com/chairemobilite/od_mtl/issues/53" xr:uid="{366B617A-7518-457A-B8C4-3920840B5646}"/>
    <hyperlink ref="AD203" r:id="rId49" display="https://github.com/chairemobilite/od_mtl/issues/55" xr:uid="{7F9F3A1A-F3E4-4E39-9964-7E64C2A06CAE}"/>
    <hyperlink ref="AD202" r:id="rId50" display="https://github.com/chairemobilite/od_mtl/issues/54" xr:uid="{1C1D2849-1C9F-4A3E-B4C9-3C22A2D677EB}"/>
    <hyperlink ref="AD71" r:id="rId51" display="https://github.com/chairemobilite/od_mtl/issues/13" xr:uid="{1D7DE5B3-F3E6-47C0-A227-85E5B5756752}"/>
  </hyperlinks>
  <pageMargins left="0.7" right="0.7" top="0.75" bottom="0.75" header="0.511811023622047" footer="0.511811023622047"/>
  <pageSetup paperSize="9" orientation="portrait" horizontalDpi="300" verticalDpi="300"/>
  <legacyDrawing r:id="rId5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G151"/>
  <sheetViews>
    <sheetView zoomScale="115" zoomScaleNormal="115" workbookViewId="0">
      <pane ySplit="1" topLeftCell="A104" activePane="bottomLeft" state="frozen"/>
      <selection pane="bottomLeft" activeCell="A110" sqref="A110"/>
    </sheetView>
  </sheetViews>
  <sheetFormatPr baseColWidth="10" defaultColWidth="8.5703125" defaultRowHeight="15" x14ac:dyDescent="0.25"/>
  <cols>
    <col min="1" max="1" width="54.42578125" style="2" bestFit="1" customWidth="1"/>
    <col min="2" max="2" width="15.42578125" style="2" bestFit="1" customWidth="1"/>
    <col min="3" max="3" width="52.5703125" style="2" bestFit="1" customWidth="1"/>
    <col min="4" max="4" width="20.28515625" style="3" bestFit="1" customWidth="1"/>
    <col min="5" max="5" width="25.28515625" style="33" bestFit="1" customWidth="1"/>
    <col min="6" max="6" width="12.140625" style="2" customWidth="1"/>
    <col min="7" max="7" width="54.5703125" style="2" customWidth="1"/>
    <col min="8" max="16384" width="8.5703125" style="2"/>
  </cols>
  <sheetData>
    <row r="1" spans="1:7" s="4" customFormat="1" ht="30" x14ac:dyDescent="0.25">
      <c r="A1" s="17" t="s">
        <v>432</v>
      </c>
      <c r="B1" s="17" t="s">
        <v>433</v>
      </c>
      <c r="C1" s="17" t="s">
        <v>5</v>
      </c>
      <c r="D1" s="18" t="s">
        <v>434</v>
      </c>
      <c r="E1" s="13" t="s">
        <v>435</v>
      </c>
      <c r="F1" s="17" t="s">
        <v>436</v>
      </c>
      <c r="G1" s="25" t="s">
        <v>1039</v>
      </c>
    </row>
    <row r="2" spans="1:7" x14ac:dyDescent="0.25">
      <c r="A2" s="14" t="s">
        <v>437</v>
      </c>
      <c r="B2" s="14"/>
      <c r="C2" s="14" t="s">
        <v>438</v>
      </c>
      <c r="D2" s="19" t="s">
        <v>439</v>
      </c>
      <c r="E2" s="14">
        <v>1</v>
      </c>
      <c r="F2" s="14"/>
    </row>
    <row r="3" spans="1:7" x14ac:dyDescent="0.25">
      <c r="A3" s="75" t="s">
        <v>77</v>
      </c>
      <c r="B3" s="14"/>
      <c r="C3" s="14" t="s">
        <v>438</v>
      </c>
      <c r="D3" s="19" t="s">
        <v>440</v>
      </c>
      <c r="E3" s="14">
        <v>2</v>
      </c>
      <c r="F3" s="14"/>
    </row>
    <row r="4" spans="1:7" x14ac:dyDescent="0.25">
      <c r="A4" s="29" t="s">
        <v>1280</v>
      </c>
      <c r="B4" s="14"/>
      <c r="C4" s="14" t="s">
        <v>438</v>
      </c>
      <c r="D4" s="30" t="s">
        <v>439</v>
      </c>
      <c r="E4" s="14">
        <v>2</v>
      </c>
      <c r="F4" s="14"/>
    </row>
    <row r="5" spans="1:7" x14ac:dyDescent="0.25">
      <c r="A5" s="29" t="s">
        <v>1275</v>
      </c>
      <c r="B5" s="14"/>
      <c r="C5" s="14" t="s">
        <v>438</v>
      </c>
      <c r="D5" s="19" t="s">
        <v>440</v>
      </c>
      <c r="E5" s="14">
        <v>3</v>
      </c>
      <c r="F5" s="14"/>
    </row>
    <row r="6" spans="1:7" x14ac:dyDescent="0.25">
      <c r="A6" s="14" t="s">
        <v>95</v>
      </c>
      <c r="B6" s="14"/>
      <c r="C6" s="14" t="s">
        <v>441</v>
      </c>
      <c r="D6" s="19" t="s">
        <v>439</v>
      </c>
      <c r="E6" s="14" t="s">
        <v>442</v>
      </c>
      <c r="F6" s="14"/>
    </row>
    <row r="7" spans="1:7" x14ac:dyDescent="0.25">
      <c r="A7" s="14" t="s">
        <v>95</v>
      </c>
      <c r="B7" s="14" t="s">
        <v>443</v>
      </c>
      <c r="C7" s="14" t="s">
        <v>438</v>
      </c>
      <c r="D7" s="19" t="s">
        <v>439</v>
      </c>
      <c r="E7" s="14">
        <v>1</v>
      </c>
      <c r="F7" s="14"/>
    </row>
    <row r="8" spans="1:7" x14ac:dyDescent="0.25">
      <c r="A8" s="14" t="s">
        <v>73</v>
      </c>
      <c r="B8" s="14"/>
      <c r="C8" s="14" t="s">
        <v>444</v>
      </c>
      <c r="D8" s="19" t="s">
        <v>440</v>
      </c>
      <c r="E8" s="14">
        <v>1</v>
      </c>
      <c r="F8" s="14"/>
    </row>
    <row r="9" spans="1:7" x14ac:dyDescent="0.25">
      <c r="A9" s="14" t="s">
        <v>100</v>
      </c>
      <c r="B9" s="14"/>
      <c r="C9" s="14" t="s">
        <v>445</v>
      </c>
      <c r="D9" s="19" t="s">
        <v>439</v>
      </c>
      <c r="E9" s="14" t="s">
        <v>446</v>
      </c>
      <c r="F9" s="14"/>
    </row>
    <row r="10" spans="1:7" x14ac:dyDescent="0.25">
      <c r="A10" s="14" t="s">
        <v>447</v>
      </c>
      <c r="B10" s="14"/>
      <c r="C10" s="14" t="s">
        <v>448</v>
      </c>
      <c r="D10" s="19" t="s">
        <v>440</v>
      </c>
      <c r="E10" s="14">
        <v>3</v>
      </c>
      <c r="F10" s="14"/>
    </row>
    <row r="11" spans="1:7" x14ac:dyDescent="0.25">
      <c r="A11" s="14" t="s">
        <v>447</v>
      </c>
      <c r="B11" s="14" t="s">
        <v>449</v>
      </c>
      <c r="C11" s="14" t="s">
        <v>448</v>
      </c>
      <c r="D11" s="19" t="s">
        <v>450</v>
      </c>
      <c r="E11" s="14">
        <v>5</v>
      </c>
      <c r="F11" s="14"/>
    </row>
    <row r="12" spans="1:7" x14ac:dyDescent="0.25">
      <c r="A12" s="14" t="s">
        <v>451</v>
      </c>
      <c r="B12" s="14"/>
      <c r="C12" s="14" t="s">
        <v>448</v>
      </c>
      <c r="D12" s="19" t="s">
        <v>440</v>
      </c>
      <c r="E12" s="14">
        <v>4</v>
      </c>
      <c r="F12" s="14"/>
    </row>
    <row r="13" spans="1:7" x14ac:dyDescent="0.25">
      <c r="A13" s="14" t="s">
        <v>451</v>
      </c>
      <c r="B13" s="14" t="s">
        <v>449</v>
      </c>
      <c r="C13" s="14" t="s">
        <v>448</v>
      </c>
      <c r="D13" s="19" t="s">
        <v>450</v>
      </c>
      <c r="E13" s="14">
        <v>13</v>
      </c>
      <c r="F13" s="14"/>
    </row>
    <row r="14" spans="1:7" x14ac:dyDescent="0.25">
      <c r="A14" s="14" t="s">
        <v>452</v>
      </c>
      <c r="B14" s="14"/>
      <c r="C14" s="14" t="s">
        <v>448</v>
      </c>
      <c r="D14" s="19" t="s">
        <v>440</v>
      </c>
      <c r="E14" s="14">
        <v>4</v>
      </c>
      <c r="F14" s="14"/>
    </row>
    <row r="15" spans="1:7" x14ac:dyDescent="0.25">
      <c r="A15" s="14" t="s">
        <v>452</v>
      </c>
      <c r="B15" s="14" t="s">
        <v>449</v>
      </c>
      <c r="C15" s="14" t="s">
        <v>448</v>
      </c>
      <c r="D15" s="19" t="s">
        <v>450</v>
      </c>
      <c r="E15" s="14">
        <v>15</v>
      </c>
      <c r="F15" s="14"/>
    </row>
    <row r="16" spans="1:7" x14ac:dyDescent="0.25">
      <c r="A16" s="29" t="s">
        <v>1244</v>
      </c>
      <c r="B16" s="14"/>
      <c r="C16" s="14" t="s">
        <v>448</v>
      </c>
      <c r="D16" s="19" t="s">
        <v>440</v>
      </c>
      <c r="E16" s="14">
        <v>5</v>
      </c>
      <c r="F16" s="14"/>
    </row>
    <row r="17" spans="1:6" x14ac:dyDescent="0.25">
      <c r="A17" s="29" t="s">
        <v>1244</v>
      </c>
      <c r="B17" s="14" t="s">
        <v>449</v>
      </c>
      <c r="C17" s="14" t="s">
        <v>448</v>
      </c>
      <c r="D17" s="19" t="s">
        <v>450</v>
      </c>
      <c r="E17" s="14">
        <v>15</v>
      </c>
      <c r="F17" s="14"/>
    </row>
    <row r="18" spans="1:6" x14ac:dyDescent="0.25">
      <c r="A18" s="14" t="s">
        <v>453</v>
      </c>
      <c r="B18" s="14"/>
      <c r="C18" s="14" t="s">
        <v>448</v>
      </c>
      <c r="D18" s="19" t="s">
        <v>450</v>
      </c>
      <c r="E18" s="14">
        <v>5</v>
      </c>
      <c r="F18" s="14"/>
    </row>
    <row r="19" spans="1:6" x14ac:dyDescent="0.25">
      <c r="A19" s="14" t="s">
        <v>96</v>
      </c>
      <c r="B19" s="14"/>
      <c r="C19" s="14" t="s">
        <v>448</v>
      </c>
      <c r="D19" s="19" t="s">
        <v>440</v>
      </c>
      <c r="E19" s="14">
        <v>5</v>
      </c>
      <c r="F19" s="14"/>
    </row>
    <row r="20" spans="1:6" x14ac:dyDescent="0.25">
      <c r="A20" s="14" t="s">
        <v>131</v>
      </c>
      <c r="B20" s="14"/>
      <c r="C20" s="14" t="s">
        <v>448</v>
      </c>
      <c r="D20" s="19" t="s">
        <v>440</v>
      </c>
      <c r="E20" s="14">
        <v>6</v>
      </c>
      <c r="F20" s="14"/>
    </row>
    <row r="21" spans="1:6" x14ac:dyDescent="0.25">
      <c r="A21" s="14" t="s">
        <v>454</v>
      </c>
      <c r="B21" s="14"/>
      <c r="C21" s="14" t="s">
        <v>448</v>
      </c>
      <c r="D21" s="19" t="s">
        <v>440</v>
      </c>
      <c r="E21" s="14">
        <v>11</v>
      </c>
      <c r="F21" s="14"/>
    </row>
    <row r="22" spans="1:6" x14ac:dyDescent="0.25">
      <c r="A22" s="29" t="s">
        <v>1101</v>
      </c>
      <c r="B22" s="14"/>
      <c r="C22" s="14" t="s">
        <v>448</v>
      </c>
      <c r="D22" s="19" t="s">
        <v>440</v>
      </c>
      <c r="E22" s="14">
        <v>12</v>
      </c>
      <c r="F22" s="14"/>
    </row>
    <row r="23" spans="1:6" x14ac:dyDescent="0.25">
      <c r="A23" s="14" t="s">
        <v>105</v>
      </c>
      <c r="B23" s="14"/>
      <c r="C23" s="14" t="s">
        <v>448</v>
      </c>
      <c r="D23" s="19" t="s">
        <v>440</v>
      </c>
      <c r="E23" s="14">
        <v>14</v>
      </c>
      <c r="F23" s="14"/>
    </row>
    <row r="24" spans="1:6" x14ac:dyDescent="0.25">
      <c r="A24" s="14" t="s">
        <v>114</v>
      </c>
      <c r="B24" s="14"/>
      <c r="C24" s="14" t="s">
        <v>448</v>
      </c>
      <c r="D24" s="19" t="s">
        <v>450</v>
      </c>
      <c r="E24" s="14">
        <v>15</v>
      </c>
      <c r="F24" s="14"/>
    </row>
    <row r="25" spans="1:6" x14ac:dyDescent="0.25">
      <c r="A25" s="14" t="s">
        <v>123</v>
      </c>
      <c r="B25" s="14"/>
      <c r="C25" s="14" t="s">
        <v>448</v>
      </c>
      <c r="D25" s="19" t="s">
        <v>440</v>
      </c>
      <c r="E25" s="14">
        <v>15</v>
      </c>
      <c r="F25" s="14"/>
    </row>
    <row r="26" spans="1:6" x14ac:dyDescent="0.25">
      <c r="A26" s="14" t="s">
        <v>111</v>
      </c>
      <c r="B26" s="14"/>
      <c r="C26" s="14" t="s">
        <v>448</v>
      </c>
      <c r="D26" s="19" t="s">
        <v>440</v>
      </c>
      <c r="E26" s="14">
        <v>16</v>
      </c>
      <c r="F26" s="14"/>
    </row>
    <row r="27" spans="1:6" x14ac:dyDescent="0.25">
      <c r="A27" s="14" t="s">
        <v>456</v>
      </c>
      <c r="B27" s="14"/>
      <c r="C27" s="14" t="s">
        <v>448</v>
      </c>
      <c r="D27" s="19" t="s">
        <v>450</v>
      </c>
      <c r="E27" s="14">
        <v>16</v>
      </c>
      <c r="F27" s="14"/>
    </row>
    <row r="28" spans="1:6" x14ac:dyDescent="0.25">
      <c r="A28" s="11" t="s">
        <v>1206</v>
      </c>
      <c r="B28" s="14"/>
      <c r="C28" s="14" t="s">
        <v>448</v>
      </c>
      <c r="D28" s="30" t="s">
        <v>450</v>
      </c>
      <c r="E28" s="14">
        <v>39</v>
      </c>
      <c r="F28" s="14"/>
    </row>
    <row r="29" spans="1:6" x14ac:dyDescent="0.25">
      <c r="A29" s="14" t="s">
        <v>457</v>
      </c>
      <c r="B29" s="14"/>
      <c r="C29" s="14" t="s">
        <v>448</v>
      </c>
      <c r="D29" s="19" t="s">
        <v>440</v>
      </c>
      <c r="E29" s="14">
        <v>40</v>
      </c>
      <c r="F29" s="14"/>
    </row>
    <row r="30" spans="1:6" x14ac:dyDescent="0.25">
      <c r="A30" s="29" t="s">
        <v>1109</v>
      </c>
      <c r="B30" s="14"/>
      <c r="C30" s="14" t="s">
        <v>448</v>
      </c>
      <c r="D30" s="30" t="s">
        <v>450</v>
      </c>
      <c r="E30" s="14">
        <v>64</v>
      </c>
      <c r="F30" s="14"/>
    </row>
    <row r="31" spans="1:6" x14ac:dyDescent="0.25">
      <c r="A31" s="29" t="s">
        <v>1108</v>
      </c>
      <c r="B31" s="14"/>
      <c r="C31" s="14" t="s">
        <v>448</v>
      </c>
      <c r="D31" s="19" t="s">
        <v>440</v>
      </c>
      <c r="E31" s="14">
        <v>65</v>
      </c>
      <c r="F31" s="14"/>
    </row>
    <row r="32" spans="1:6" x14ac:dyDescent="0.25">
      <c r="A32" s="54" t="s">
        <v>129</v>
      </c>
      <c r="B32" s="14"/>
      <c r="C32" s="14" t="s">
        <v>458</v>
      </c>
      <c r="D32" s="19" t="s">
        <v>439</v>
      </c>
      <c r="E32" s="14" t="s">
        <v>442</v>
      </c>
      <c r="F32" s="14"/>
    </row>
    <row r="33" spans="1:6" x14ac:dyDescent="0.25">
      <c r="A33" s="14" t="s">
        <v>137</v>
      </c>
      <c r="B33" s="14"/>
      <c r="C33" s="14" t="s">
        <v>459</v>
      </c>
      <c r="D33" s="19" t="s">
        <v>439</v>
      </c>
      <c r="E33" s="19" t="s">
        <v>460</v>
      </c>
      <c r="F33" s="14"/>
    </row>
    <row r="34" spans="1:6" x14ac:dyDescent="0.25">
      <c r="A34" s="14" t="s">
        <v>137</v>
      </c>
      <c r="B34" s="14" t="s">
        <v>443</v>
      </c>
      <c r="C34" s="29" t="s">
        <v>459</v>
      </c>
      <c r="D34" s="19" t="s">
        <v>439</v>
      </c>
      <c r="E34" s="19" t="s">
        <v>461</v>
      </c>
      <c r="F34" s="14"/>
    </row>
    <row r="35" spans="1:6" x14ac:dyDescent="0.25">
      <c r="A35" s="14" t="s">
        <v>137</v>
      </c>
      <c r="B35" s="14" t="s">
        <v>443</v>
      </c>
      <c r="C35" s="14" t="s">
        <v>459</v>
      </c>
      <c r="D35" s="19" t="s">
        <v>439</v>
      </c>
      <c r="E35" s="19" t="s">
        <v>462</v>
      </c>
      <c r="F35" s="14"/>
    </row>
    <row r="36" spans="1:6" x14ac:dyDescent="0.25">
      <c r="A36" s="14" t="s">
        <v>140</v>
      </c>
      <c r="B36" s="14"/>
      <c r="C36" s="14" t="s">
        <v>459</v>
      </c>
      <c r="D36" s="19" t="s">
        <v>439</v>
      </c>
      <c r="E36" s="19" t="s">
        <v>463</v>
      </c>
      <c r="F36" s="14"/>
    </row>
    <row r="37" spans="1:6" x14ac:dyDescent="0.25">
      <c r="A37" s="14" t="s">
        <v>140</v>
      </c>
      <c r="B37" s="14" t="s">
        <v>443</v>
      </c>
      <c r="C37" s="14" t="s">
        <v>459</v>
      </c>
      <c r="D37" s="19" t="s">
        <v>439</v>
      </c>
      <c r="E37" s="19" t="s">
        <v>464</v>
      </c>
      <c r="F37" s="14"/>
    </row>
    <row r="38" spans="1:6" x14ac:dyDescent="0.25">
      <c r="A38" s="14" t="s">
        <v>140</v>
      </c>
      <c r="B38" s="14" t="s">
        <v>443</v>
      </c>
      <c r="C38" s="14" t="s">
        <v>459</v>
      </c>
      <c r="D38" s="19" t="s">
        <v>439</v>
      </c>
      <c r="E38" s="19" t="s">
        <v>462</v>
      </c>
      <c r="F38" s="14"/>
    </row>
    <row r="39" spans="1:6" x14ac:dyDescent="0.25">
      <c r="A39" s="14" t="s">
        <v>146</v>
      </c>
      <c r="B39" s="14"/>
      <c r="C39" s="14" t="s">
        <v>465</v>
      </c>
      <c r="D39" s="19" t="s">
        <v>439</v>
      </c>
      <c r="E39" s="14" t="s">
        <v>466</v>
      </c>
      <c r="F39" s="14"/>
    </row>
    <row r="40" spans="1:6" x14ac:dyDescent="0.25">
      <c r="A40" s="14" t="s">
        <v>146</v>
      </c>
      <c r="B40" s="14" t="s">
        <v>443</v>
      </c>
      <c r="C40" s="14" t="s">
        <v>465</v>
      </c>
      <c r="D40" s="19" t="s">
        <v>439</v>
      </c>
      <c r="E40" s="14" t="s">
        <v>467</v>
      </c>
      <c r="F40" s="14"/>
    </row>
    <row r="41" spans="1:6" x14ac:dyDescent="0.25">
      <c r="A41" s="14" t="s">
        <v>146</v>
      </c>
      <c r="B41" s="14" t="s">
        <v>443</v>
      </c>
      <c r="C41" s="14" t="s">
        <v>465</v>
      </c>
      <c r="D41" s="19" t="s">
        <v>439</v>
      </c>
      <c r="E41" s="14" t="s">
        <v>468</v>
      </c>
      <c r="F41" s="14"/>
    </row>
    <row r="42" spans="1:6" x14ac:dyDescent="0.25">
      <c r="A42" s="14" t="s">
        <v>146</v>
      </c>
      <c r="B42" s="14" t="s">
        <v>443</v>
      </c>
      <c r="C42" s="14" t="s">
        <v>469</v>
      </c>
      <c r="D42" s="19" t="s">
        <v>439</v>
      </c>
      <c r="E42" s="14" t="s">
        <v>466</v>
      </c>
      <c r="F42" s="14"/>
    </row>
    <row r="43" spans="1:6" x14ac:dyDescent="0.25">
      <c r="A43" s="14" t="s">
        <v>146</v>
      </c>
      <c r="B43" s="14" t="s">
        <v>443</v>
      </c>
      <c r="C43" s="14" t="s">
        <v>469</v>
      </c>
      <c r="D43" s="19" t="s">
        <v>439</v>
      </c>
      <c r="E43" s="14" t="s">
        <v>467</v>
      </c>
      <c r="F43" s="14"/>
    </row>
    <row r="44" spans="1:6" x14ac:dyDescent="0.25">
      <c r="A44" s="14" t="s">
        <v>146</v>
      </c>
      <c r="B44" s="14" t="s">
        <v>443</v>
      </c>
      <c r="C44" s="29" t="s">
        <v>469</v>
      </c>
      <c r="D44" s="19" t="s">
        <v>439</v>
      </c>
      <c r="E44" s="14" t="s">
        <v>468</v>
      </c>
      <c r="F44" s="14"/>
    </row>
    <row r="45" spans="1:6" x14ac:dyDescent="0.25">
      <c r="A45" s="14" t="s">
        <v>39</v>
      </c>
      <c r="B45" s="14"/>
      <c r="C45" s="14" t="s">
        <v>32</v>
      </c>
      <c r="D45" s="19" t="s">
        <v>439</v>
      </c>
      <c r="E45" s="14" t="s">
        <v>442</v>
      </c>
      <c r="F45" s="14"/>
    </row>
    <row r="46" spans="1:6" x14ac:dyDescent="0.25">
      <c r="A46" s="14" t="s">
        <v>39</v>
      </c>
      <c r="B46" s="27" t="s">
        <v>443</v>
      </c>
      <c r="C46" s="21" t="s">
        <v>1027</v>
      </c>
      <c r="D46" s="28" t="s">
        <v>439</v>
      </c>
      <c r="E46" s="27" t="s">
        <v>442</v>
      </c>
      <c r="F46" s="14"/>
    </row>
    <row r="47" spans="1:6" x14ac:dyDescent="0.25">
      <c r="A47" s="14" t="s">
        <v>390</v>
      </c>
      <c r="B47" s="14"/>
      <c r="C47" s="14" t="s">
        <v>386</v>
      </c>
      <c r="D47" s="19" t="s">
        <v>439</v>
      </c>
      <c r="E47" s="14" t="s">
        <v>442</v>
      </c>
      <c r="F47" s="14"/>
    </row>
    <row r="48" spans="1:6" ht="15" customHeight="1" x14ac:dyDescent="0.25">
      <c r="A48" s="14" t="s">
        <v>400</v>
      </c>
      <c r="B48" s="14"/>
      <c r="C48" s="14" t="s">
        <v>470</v>
      </c>
      <c r="D48" s="19" t="s">
        <v>440</v>
      </c>
      <c r="E48" s="14">
        <v>1</v>
      </c>
      <c r="F48" s="14"/>
    </row>
    <row r="49" spans="1:7" ht="15" customHeight="1" x14ac:dyDescent="0.25">
      <c r="A49" s="14" t="s">
        <v>471</v>
      </c>
      <c r="B49" s="14"/>
      <c r="C49" s="14" t="s">
        <v>465</v>
      </c>
      <c r="D49" s="19" t="s">
        <v>439</v>
      </c>
      <c r="E49" s="14" t="s">
        <v>468</v>
      </c>
      <c r="F49" s="14"/>
    </row>
    <row r="50" spans="1:7" ht="15" customHeight="1" x14ac:dyDescent="0.25">
      <c r="A50" s="14" t="s">
        <v>167</v>
      </c>
      <c r="B50" s="14"/>
      <c r="C50" s="14" t="s">
        <v>465</v>
      </c>
      <c r="D50" s="19" t="s">
        <v>439</v>
      </c>
      <c r="E50" s="14" t="s">
        <v>472</v>
      </c>
      <c r="F50" s="14"/>
    </row>
    <row r="51" spans="1:7" ht="15" customHeight="1" x14ac:dyDescent="0.25">
      <c r="A51" s="14" t="s">
        <v>167</v>
      </c>
      <c r="B51" s="14" t="s">
        <v>443</v>
      </c>
      <c r="C51" s="14" t="s">
        <v>465</v>
      </c>
      <c r="D51" s="19" t="s">
        <v>439</v>
      </c>
      <c r="E51" s="14" t="s">
        <v>467</v>
      </c>
      <c r="F51" s="14"/>
    </row>
    <row r="52" spans="1:7" ht="15" customHeight="1" x14ac:dyDescent="0.25">
      <c r="A52" s="58" t="s">
        <v>1195</v>
      </c>
      <c r="B52" s="14"/>
      <c r="C52" s="14" t="s">
        <v>465</v>
      </c>
      <c r="D52" s="19" t="s">
        <v>439</v>
      </c>
      <c r="E52" s="14" t="s">
        <v>467</v>
      </c>
      <c r="F52" s="14"/>
    </row>
    <row r="53" spans="1:7" x14ac:dyDescent="0.25">
      <c r="A53" s="14" t="s">
        <v>120</v>
      </c>
      <c r="B53" s="14"/>
      <c r="C53" s="14" t="s">
        <v>459</v>
      </c>
      <c r="D53" s="19" t="s">
        <v>439</v>
      </c>
      <c r="E53" s="14" t="s">
        <v>473</v>
      </c>
      <c r="F53" s="14"/>
    </row>
    <row r="54" spans="1:7" ht="15" customHeight="1" x14ac:dyDescent="0.25">
      <c r="A54" s="14" t="s">
        <v>139</v>
      </c>
      <c r="B54" s="14"/>
      <c r="C54" s="14" t="s">
        <v>474</v>
      </c>
      <c r="D54" s="19" t="s">
        <v>439</v>
      </c>
      <c r="E54" s="19" t="s">
        <v>475</v>
      </c>
      <c r="F54" s="14"/>
    </row>
    <row r="55" spans="1:7" ht="15" customHeight="1" x14ac:dyDescent="0.25">
      <c r="A55" s="14" t="s">
        <v>139</v>
      </c>
      <c r="B55" s="14" t="s">
        <v>443</v>
      </c>
      <c r="C55" s="14" t="s">
        <v>474</v>
      </c>
      <c r="D55" s="19" t="s">
        <v>439</v>
      </c>
      <c r="E55" s="19" t="s">
        <v>476</v>
      </c>
      <c r="F55" s="14"/>
    </row>
    <row r="56" spans="1:7" ht="15" customHeight="1" x14ac:dyDescent="0.25">
      <c r="A56" s="14" t="s">
        <v>373</v>
      </c>
      <c r="B56" s="14"/>
      <c r="C56" s="14" t="s">
        <v>368</v>
      </c>
      <c r="D56" s="19" t="s">
        <v>439</v>
      </c>
      <c r="E56" s="14" t="s">
        <v>442</v>
      </c>
      <c r="F56" s="14"/>
    </row>
    <row r="57" spans="1:7" ht="15" customHeight="1" x14ac:dyDescent="0.25">
      <c r="A57" s="27" t="s">
        <v>359</v>
      </c>
      <c r="B57" s="14"/>
      <c r="C57" s="14" t="s">
        <v>348</v>
      </c>
      <c r="D57" s="19" t="s">
        <v>439</v>
      </c>
      <c r="E57" s="14" t="s">
        <v>442</v>
      </c>
      <c r="F57" s="14"/>
    </row>
    <row r="58" spans="1:7" x14ac:dyDescent="0.25">
      <c r="A58" s="2" t="s">
        <v>1074</v>
      </c>
      <c r="C58" t="s">
        <v>1057</v>
      </c>
      <c r="D58" s="3" t="s">
        <v>450</v>
      </c>
      <c r="E58" s="33">
        <v>4</v>
      </c>
    </row>
    <row r="59" spans="1:7" x14ac:dyDescent="0.25">
      <c r="A59" s="2" t="s">
        <v>1075</v>
      </c>
      <c r="C59" s="21" t="s">
        <v>470</v>
      </c>
      <c r="D59" s="3" t="s">
        <v>440</v>
      </c>
      <c r="E59" s="33">
        <v>1</v>
      </c>
    </row>
    <row r="60" spans="1:7" x14ac:dyDescent="0.25">
      <c r="A60" s="2" t="s">
        <v>1075</v>
      </c>
      <c r="B60" s="2" t="s">
        <v>443</v>
      </c>
      <c r="C60" s="21" t="s">
        <v>1058</v>
      </c>
      <c r="D60" s="3" t="s">
        <v>440</v>
      </c>
      <c r="E60" s="33">
        <v>1</v>
      </c>
    </row>
    <row r="61" spans="1:7" x14ac:dyDescent="0.25">
      <c r="A61" s="2" t="s">
        <v>1076</v>
      </c>
      <c r="C61" s="21" t="s">
        <v>470</v>
      </c>
      <c r="D61" s="3" t="s">
        <v>439</v>
      </c>
      <c r="E61" s="33">
        <v>0</v>
      </c>
    </row>
    <row r="62" spans="1:7" x14ac:dyDescent="0.25">
      <c r="A62" s="2" t="s">
        <v>1076</v>
      </c>
      <c r="B62" s="2" t="s">
        <v>449</v>
      </c>
      <c r="C62" s="21" t="s">
        <v>1058</v>
      </c>
      <c r="D62" s="3" t="s">
        <v>439</v>
      </c>
      <c r="E62" s="33">
        <v>0</v>
      </c>
    </row>
    <row r="63" spans="1:7" x14ac:dyDescent="0.25">
      <c r="A63" s="21" t="s">
        <v>1077</v>
      </c>
      <c r="C63" t="s">
        <v>1057</v>
      </c>
      <c r="D63" s="3" t="s">
        <v>450</v>
      </c>
      <c r="E63" s="33">
        <v>4</v>
      </c>
    </row>
    <row r="64" spans="1:7" x14ac:dyDescent="0.25">
      <c r="A64" s="42" t="s">
        <v>1077</v>
      </c>
      <c r="B64" s="39" t="s">
        <v>449</v>
      </c>
      <c r="C64" s="71" t="s">
        <v>2050</v>
      </c>
      <c r="D64" s="40" t="s">
        <v>439</v>
      </c>
      <c r="E64" s="41" t="s">
        <v>2051</v>
      </c>
      <c r="F64" s="39" t="s">
        <v>1178</v>
      </c>
      <c r="G64" s="39" t="s">
        <v>1059</v>
      </c>
    </row>
    <row r="65" spans="1:7" x14ac:dyDescent="0.25">
      <c r="A65" s="42" t="s">
        <v>1077</v>
      </c>
      <c r="B65" s="39" t="s">
        <v>443</v>
      </c>
      <c r="C65" s="71" t="s">
        <v>2050</v>
      </c>
      <c r="D65" s="40" t="s">
        <v>439</v>
      </c>
      <c r="E65" s="41" t="s">
        <v>2052</v>
      </c>
      <c r="F65" s="39"/>
      <c r="G65" s="39"/>
    </row>
    <row r="66" spans="1:7" x14ac:dyDescent="0.25">
      <c r="A66" s="42" t="s">
        <v>1077</v>
      </c>
      <c r="B66" s="39" t="s">
        <v>443</v>
      </c>
      <c r="C66" s="71" t="s">
        <v>2050</v>
      </c>
      <c r="D66" s="40" t="s">
        <v>439</v>
      </c>
      <c r="E66" s="41" t="s">
        <v>2053</v>
      </c>
      <c r="F66" s="39" t="s">
        <v>1179</v>
      </c>
      <c r="G66" s="39"/>
    </row>
    <row r="67" spans="1:7" x14ac:dyDescent="0.25">
      <c r="A67" s="21" t="s">
        <v>1077</v>
      </c>
      <c r="B67" s="2" t="s">
        <v>449</v>
      </c>
      <c r="C67" s="21" t="s">
        <v>470</v>
      </c>
      <c r="D67" s="3" t="s">
        <v>440</v>
      </c>
      <c r="E67" s="33">
        <v>1</v>
      </c>
      <c r="F67" s="2" t="s">
        <v>1178</v>
      </c>
    </row>
    <row r="68" spans="1:7" x14ac:dyDescent="0.25">
      <c r="A68" s="21" t="s">
        <v>1077</v>
      </c>
      <c r="B68" s="2" t="s">
        <v>443</v>
      </c>
      <c r="C68" s="21" t="s">
        <v>1058</v>
      </c>
      <c r="D68" s="3" t="s">
        <v>440</v>
      </c>
      <c r="E68" s="33">
        <v>1</v>
      </c>
      <c r="F68" s="2" t="s">
        <v>1179</v>
      </c>
    </row>
    <row r="69" spans="1:7" x14ac:dyDescent="0.25">
      <c r="A69" s="21" t="s">
        <v>1078</v>
      </c>
      <c r="C69" t="s">
        <v>1057</v>
      </c>
      <c r="D69" s="3" t="s">
        <v>450</v>
      </c>
      <c r="E69" s="33">
        <v>4</v>
      </c>
    </row>
    <row r="70" spans="1:7" x14ac:dyDescent="0.25">
      <c r="A70" s="42" t="s">
        <v>1077</v>
      </c>
      <c r="B70" s="39" t="s">
        <v>449</v>
      </c>
      <c r="C70" s="71" t="s">
        <v>2050</v>
      </c>
      <c r="D70" s="40" t="s">
        <v>439</v>
      </c>
      <c r="E70" s="41" t="s">
        <v>2051</v>
      </c>
      <c r="F70" s="39" t="s">
        <v>1178</v>
      </c>
      <c r="G70" s="39" t="s">
        <v>1059</v>
      </c>
    </row>
    <row r="71" spans="1:7" x14ac:dyDescent="0.25">
      <c r="A71" s="42" t="s">
        <v>1077</v>
      </c>
      <c r="B71" s="39" t="s">
        <v>443</v>
      </c>
      <c r="C71" s="71" t="s">
        <v>2050</v>
      </c>
      <c r="D71" s="40" t="s">
        <v>439</v>
      </c>
      <c r="E71" s="41" t="s">
        <v>2052</v>
      </c>
      <c r="F71" s="39"/>
      <c r="G71" s="39"/>
    </row>
    <row r="72" spans="1:7" x14ac:dyDescent="0.25">
      <c r="A72" s="42" t="s">
        <v>1077</v>
      </c>
      <c r="B72" s="39" t="s">
        <v>443</v>
      </c>
      <c r="C72" s="71" t="s">
        <v>2050</v>
      </c>
      <c r="D72" s="40" t="s">
        <v>439</v>
      </c>
      <c r="E72" s="41" t="s">
        <v>2053</v>
      </c>
      <c r="F72" s="39" t="s">
        <v>1179</v>
      </c>
      <c r="G72" s="39"/>
    </row>
    <row r="73" spans="1:7" x14ac:dyDescent="0.25">
      <c r="A73" s="21" t="s">
        <v>1078</v>
      </c>
      <c r="B73" s="2" t="s">
        <v>449</v>
      </c>
      <c r="C73" s="21" t="s">
        <v>470</v>
      </c>
      <c r="D73" s="3" t="s">
        <v>440</v>
      </c>
      <c r="E73" s="33">
        <v>1</v>
      </c>
      <c r="F73" s="2" t="s">
        <v>1178</v>
      </c>
    </row>
    <row r="74" spans="1:7" x14ac:dyDescent="0.25">
      <c r="A74" s="21" t="s">
        <v>1078</v>
      </c>
      <c r="B74" s="2" t="s">
        <v>443</v>
      </c>
      <c r="C74" s="21" t="s">
        <v>1058</v>
      </c>
      <c r="D74" s="3" t="s">
        <v>440</v>
      </c>
      <c r="E74" s="33">
        <v>1</v>
      </c>
      <c r="F74" s="2" t="s">
        <v>1179</v>
      </c>
    </row>
    <row r="75" spans="1:7" x14ac:dyDescent="0.25">
      <c r="A75" s="2" t="s">
        <v>1079</v>
      </c>
      <c r="C75" t="s">
        <v>1057</v>
      </c>
      <c r="D75" s="3" t="s">
        <v>450</v>
      </c>
      <c r="E75" s="33">
        <v>6</v>
      </c>
    </row>
    <row r="76" spans="1:7" x14ac:dyDescent="0.25">
      <c r="A76" s="2" t="s">
        <v>1091</v>
      </c>
      <c r="C76" s="14" t="s">
        <v>438</v>
      </c>
      <c r="D76" s="19" t="s">
        <v>440</v>
      </c>
      <c r="E76" s="14">
        <v>2</v>
      </c>
    </row>
    <row r="77" spans="1:7" x14ac:dyDescent="0.25">
      <c r="A77" s="2" t="s">
        <v>1091</v>
      </c>
      <c r="B77" s="2" t="s">
        <v>449</v>
      </c>
      <c r="C77" t="s">
        <v>1057</v>
      </c>
      <c r="D77" s="3" t="s">
        <v>450</v>
      </c>
      <c r="E77" s="33">
        <v>6</v>
      </c>
    </row>
    <row r="78" spans="1:7" x14ac:dyDescent="0.25">
      <c r="A78" s="2" t="s">
        <v>1092</v>
      </c>
      <c r="C78" s="21" t="s">
        <v>1073</v>
      </c>
      <c r="D78" s="3" t="s">
        <v>439</v>
      </c>
      <c r="E78" s="33" t="s">
        <v>442</v>
      </c>
    </row>
    <row r="79" spans="1:7" x14ac:dyDescent="0.25">
      <c r="A79" s="2" t="s">
        <v>1092</v>
      </c>
      <c r="B79" s="2" t="s">
        <v>443</v>
      </c>
      <c r="C79" t="s">
        <v>1057</v>
      </c>
      <c r="D79" s="3" t="s">
        <v>450</v>
      </c>
      <c r="E79" s="33">
        <v>6</v>
      </c>
      <c r="F79" s="2" t="s">
        <v>1178</v>
      </c>
    </row>
    <row r="80" spans="1:7" x14ac:dyDescent="0.25">
      <c r="A80" s="2" t="s">
        <v>1092</v>
      </c>
      <c r="B80" s="2" t="s">
        <v>449</v>
      </c>
      <c r="C80" s="14" t="s">
        <v>438</v>
      </c>
      <c r="D80" s="19" t="s">
        <v>439</v>
      </c>
      <c r="E80" s="14">
        <v>1</v>
      </c>
      <c r="F80" s="2" t="s">
        <v>1179</v>
      </c>
    </row>
    <row r="81" spans="1:7" x14ac:dyDescent="0.25">
      <c r="A81" s="2" t="s">
        <v>1092</v>
      </c>
      <c r="B81" s="2" t="s">
        <v>449</v>
      </c>
      <c r="C81" s="14" t="s">
        <v>458</v>
      </c>
      <c r="D81" s="19" t="s">
        <v>439</v>
      </c>
      <c r="E81" s="14" t="s">
        <v>442</v>
      </c>
    </row>
    <row r="82" spans="1:7" x14ac:dyDescent="0.25">
      <c r="A82" s="2" t="s">
        <v>1093</v>
      </c>
      <c r="C82" s="21" t="s">
        <v>1073</v>
      </c>
      <c r="D82" s="3" t="s">
        <v>439</v>
      </c>
      <c r="E82" s="33" t="s">
        <v>442</v>
      </c>
    </row>
    <row r="83" spans="1:7" x14ac:dyDescent="0.25">
      <c r="A83" s="2" t="s">
        <v>1093</v>
      </c>
      <c r="B83" s="2" t="s">
        <v>443</v>
      </c>
      <c r="C83" t="s">
        <v>1057</v>
      </c>
      <c r="D83" s="3" t="s">
        <v>450</v>
      </c>
      <c r="E83" s="33">
        <v>6</v>
      </c>
      <c r="F83" s="2" t="s">
        <v>1178</v>
      </c>
    </row>
    <row r="84" spans="1:7" x14ac:dyDescent="0.25">
      <c r="A84" s="2" t="s">
        <v>1093</v>
      </c>
      <c r="B84" s="2" t="s">
        <v>449</v>
      </c>
      <c r="C84" s="14" t="s">
        <v>438</v>
      </c>
      <c r="D84" s="19" t="s">
        <v>439</v>
      </c>
      <c r="E84" s="14">
        <v>1</v>
      </c>
      <c r="F84" s="2" t="s">
        <v>1179</v>
      </c>
    </row>
    <row r="85" spans="1:7" x14ac:dyDescent="0.25">
      <c r="A85" s="2" t="s">
        <v>1093</v>
      </c>
      <c r="B85" s="2" t="s">
        <v>449</v>
      </c>
      <c r="C85" s="14" t="s">
        <v>448</v>
      </c>
      <c r="D85" s="19" t="s">
        <v>440</v>
      </c>
      <c r="E85" s="14">
        <v>14</v>
      </c>
    </row>
    <row r="86" spans="1:7" x14ac:dyDescent="0.25">
      <c r="A86" s="2" t="s">
        <v>1094</v>
      </c>
      <c r="C86" s="21" t="s">
        <v>1202</v>
      </c>
      <c r="D86" s="3" t="s">
        <v>439</v>
      </c>
      <c r="E86" s="33" t="s">
        <v>442</v>
      </c>
    </row>
    <row r="87" spans="1:7" x14ac:dyDescent="0.25">
      <c r="A87" s="21" t="s">
        <v>1097</v>
      </c>
      <c r="C87" s="14" t="s">
        <v>448</v>
      </c>
      <c r="D87" s="19" t="s">
        <v>440</v>
      </c>
      <c r="E87" s="14">
        <v>12</v>
      </c>
    </row>
    <row r="88" spans="1:7" x14ac:dyDescent="0.25">
      <c r="A88" s="21" t="s">
        <v>1097</v>
      </c>
      <c r="B88" s="2" t="s">
        <v>449</v>
      </c>
      <c r="C88" t="s">
        <v>1200</v>
      </c>
      <c r="D88" s="3" t="s">
        <v>439</v>
      </c>
      <c r="E88" s="33" t="s">
        <v>442</v>
      </c>
    </row>
    <row r="89" spans="1:7" x14ac:dyDescent="0.25">
      <c r="A89" s="2" t="s">
        <v>1095</v>
      </c>
      <c r="C89" s="21" t="s">
        <v>1203</v>
      </c>
      <c r="D89" s="3" t="s">
        <v>439</v>
      </c>
      <c r="E89" s="33" t="s">
        <v>1103</v>
      </c>
    </row>
    <row r="90" spans="1:7" x14ac:dyDescent="0.25">
      <c r="A90" s="21" t="s">
        <v>1155</v>
      </c>
      <c r="C90" s="21" t="s">
        <v>1204</v>
      </c>
      <c r="D90" s="3" t="s">
        <v>439</v>
      </c>
      <c r="E90" s="33" t="s">
        <v>442</v>
      </c>
    </row>
    <row r="91" spans="1:7" x14ac:dyDescent="0.25">
      <c r="A91" s="21" t="s">
        <v>1168</v>
      </c>
      <c r="C91" s="21" t="s">
        <v>1201</v>
      </c>
      <c r="D91" s="3" t="s">
        <v>439</v>
      </c>
      <c r="E91" s="33" t="s">
        <v>442</v>
      </c>
    </row>
    <row r="92" spans="1:7" x14ac:dyDescent="0.25">
      <c r="A92" s="42" t="s">
        <v>1168</v>
      </c>
      <c r="B92" s="39" t="s">
        <v>449</v>
      </c>
      <c r="C92" s="71" t="s">
        <v>2050</v>
      </c>
      <c r="D92" s="40" t="s">
        <v>439</v>
      </c>
      <c r="E92" s="41" t="s">
        <v>1267</v>
      </c>
      <c r="F92" s="39" t="s">
        <v>1178</v>
      </c>
      <c r="G92" s="39" t="s">
        <v>1169</v>
      </c>
    </row>
    <row r="93" spans="1:7" x14ac:dyDescent="0.25">
      <c r="A93" s="42" t="s">
        <v>1168</v>
      </c>
      <c r="B93" s="39" t="s">
        <v>443</v>
      </c>
      <c r="C93" s="71" t="s">
        <v>2050</v>
      </c>
      <c r="D93" s="40" t="s">
        <v>439</v>
      </c>
      <c r="E93" s="41" t="s">
        <v>2054</v>
      </c>
      <c r="F93" s="39"/>
      <c r="G93" s="39"/>
    </row>
    <row r="94" spans="1:7" x14ac:dyDescent="0.25">
      <c r="A94" s="42" t="s">
        <v>1168</v>
      </c>
      <c r="B94" s="39" t="s">
        <v>443</v>
      </c>
      <c r="C94" s="71" t="s">
        <v>2050</v>
      </c>
      <c r="D94" s="40" t="s">
        <v>439</v>
      </c>
      <c r="E94" s="41" t="s">
        <v>2055</v>
      </c>
      <c r="F94" s="39"/>
      <c r="G94" s="39"/>
    </row>
    <row r="95" spans="1:7" x14ac:dyDescent="0.25">
      <c r="A95" s="42" t="s">
        <v>1168</v>
      </c>
      <c r="B95" s="39" t="s">
        <v>443</v>
      </c>
      <c r="C95" s="71" t="s">
        <v>2050</v>
      </c>
      <c r="D95" s="40" t="s">
        <v>439</v>
      </c>
      <c r="E95" s="41" t="s">
        <v>2056</v>
      </c>
      <c r="F95" s="39" t="s">
        <v>1179</v>
      </c>
      <c r="G95" s="39"/>
    </row>
    <row r="96" spans="1:7" x14ac:dyDescent="0.25">
      <c r="A96" t="s">
        <v>1176</v>
      </c>
      <c r="C96" t="s">
        <v>1200</v>
      </c>
      <c r="D96" s="3" t="s">
        <v>439</v>
      </c>
      <c r="E96" s="33" t="s">
        <v>520</v>
      </c>
    </row>
    <row r="97" spans="1:5" x14ac:dyDescent="0.25">
      <c r="A97" s="21" t="s">
        <v>1197</v>
      </c>
      <c r="C97" s="14" t="s">
        <v>448</v>
      </c>
      <c r="D97" s="3" t="s">
        <v>440</v>
      </c>
      <c r="E97" s="33">
        <v>15</v>
      </c>
    </row>
    <row r="98" spans="1:5" x14ac:dyDescent="0.25">
      <c r="A98" s="21" t="s">
        <v>1197</v>
      </c>
      <c r="B98" s="2" t="s">
        <v>449</v>
      </c>
      <c r="C98" s="29" t="s">
        <v>448</v>
      </c>
      <c r="D98" s="3" t="s">
        <v>450</v>
      </c>
      <c r="E98" s="33">
        <v>69</v>
      </c>
    </row>
    <row r="99" spans="1:5" x14ac:dyDescent="0.25">
      <c r="A99" s="21" t="s">
        <v>1197</v>
      </c>
      <c r="B99" s="2" t="s">
        <v>449</v>
      </c>
      <c r="C99" s="21" t="s">
        <v>1198</v>
      </c>
      <c r="D99" s="3" t="s">
        <v>439</v>
      </c>
      <c r="E99" s="33" t="s">
        <v>520</v>
      </c>
    </row>
    <row r="100" spans="1:5" x14ac:dyDescent="0.25">
      <c r="A100" s="21" t="s">
        <v>1197</v>
      </c>
      <c r="B100" s="2" t="s">
        <v>449</v>
      </c>
      <c r="C100" s="21" t="s">
        <v>1199</v>
      </c>
      <c r="D100" s="3" t="s">
        <v>439</v>
      </c>
      <c r="E100" s="33" t="s">
        <v>520</v>
      </c>
    </row>
    <row r="101" spans="1:5" x14ac:dyDescent="0.25">
      <c r="A101" s="2" t="s">
        <v>1215</v>
      </c>
      <c r="C101" s="21" t="s">
        <v>1228</v>
      </c>
      <c r="D101" s="3" t="s">
        <v>439</v>
      </c>
      <c r="E101" s="33" t="s">
        <v>520</v>
      </c>
    </row>
    <row r="102" spans="1:5" ht="30" x14ac:dyDescent="0.25">
      <c r="A102" s="21" t="s">
        <v>1219</v>
      </c>
      <c r="C102" s="21" t="s">
        <v>1229</v>
      </c>
      <c r="D102" s="3" t="s">
        <v>439</v>
      </c>
      <c r="E102" s="11" t="s">
        <v>629</v>
      </c>
    </row>
    <row r="103" spans="1:5" ht="30" x14ac:dyDescent="0.25">
      <c r="A103" s="21" t="s">
        <v>1219</v>
      </c>
      <c r="B103" s="2" t="s">
        <v>443</v>
      </c>
      <c r="C103" s="21" t="s">
        <v>1229</v>
      </c>
      <c r="D103" s="3" t="s">
        <v>439</v>
      </c>
      <c r="E103" s="11" t="s">
        <v>631</v>
      </c>
    </row>
    <row r="104" spans="1:5" ht="30" x14ac:dyDescent="0.25">
      <c r="A104" s="21" t="s">
        <v>1226</v>
      </c>
      <c r="C104" s="21" t="s">
        <v>1229</v>
      </c>
      <c r="D104" s="3" t="s">
        <v>439</v>
      </c>
      <c r="E104" s="11" t="s">
        <v>631</v>
      </c>
    </row>
    <row r="105" spans="1:5" x14ac:dyDescent="0.25">
      <c r="A105" s="21" t="s">
        <v>1226</v>
      </c>
      <c r="B105" s="2" t="s">
        <v>449</v>
      </c>
      <c r="C105" s="14" t="s">
        <v>438</v>
      </c>
      <c r="D105" s="19" t="s">
        <v>440</v>
      </c>
      <c r="E105" s="14">
        <v>2</v>
      </c>
    </row>
    <row r="106" spans="1:5" x14ac:dyDescent="0.25">
      <c r="A106" s="21" t="s">
        <v>1226</v>
      </c>
      <c r="B106" s="21" t="s">
        <v>449</v>
      </c>
      <c r="C106" s="21" t="s">
        <v>1227</v>
      </c>
      <c r="D106" s="3" t="s">
        <v>439</v>
      </c>
      <c r="E106" s="33" t="s">
        <v>442</v>
      </c>
    </row>
    <row r="107" spans="1:5" x14ac:dyDescent="0.25">
      <c r="A107" s="2" t="s">
        <v>1230</v>
      </c>
      <c r="C107" s="44" t="s">
        <v>232</v>
      </c>
      <c r="D107" s="3" t="s">
        <v>439</v>
      </c>
      <c r="E107" s="33" t="s">
        <v>1231</v>
      </c>
    </row>
    <row r="108" spans="1:5" x14ac:dyDescent="0.25">
      <c r="A108" s="2" t="s">
        <v>1230</v>
      </c>
      <c r="B108" s="2" t="s">
        <v>449</v>
      </c>
      <c r="C108" s="21" t="s">
        <v>465</v>
      </c>
      <c r="D108" s="3" t="s">
        <v>439</v>
      </c>
      <c r="E108" s="11" t="s">
        <v>468</v>
      </c>
    </row>
    <row r="109" spans="1:5" x14ac:dyDescent="0.25">
      <c r="A109" s="21" t="s">
        <v>1236</v>
      </c>
      <c r="C109" s="21" t="s">
        <v>234</v>
      </c>
      <c r="D109" s="3" t="s">
        <v>1237</v>
      </c>
      <c r="E109" s="33" t="s">
        <v>27</v>
      </c>
    </row>
    <row r="110" spans="1:5" x14ac:dyDescent="0.25">
      <c r="A110" s="21" t="s">
        <v>1236</v>
      </c>
      <c r="B110" s="2" t="s">
        <v>449</v>
      </c>
      <c r="C110" s="21" t="s">
        <v>234</v>
      </c>
      <c r="D110" s="3" t="s">
        <v>1237</v>
      </c>
      <c r="E110" s="33" t="s">
        <v>455</v>
      </c>
    </row>
    <row r="111" spans="1:5" x14ac:dyDescent="0.25">
      <c r="A111" s="2" t="s">
        <v>1259</v>
      </c>
      <c r="C111" s="21" t="s">
        <v>1058</v>
      </c>
      <c r="D111" s="3" t="s">
        <v>440</v>
      </c>
      <c r="E111" s="33">
        <v>1</v>
      </c>
    </row>
    <row r="112" spans="1:5" x14ac:dyDescent="0.25">
      <c r="A112" s="2" t="s">
        <v>1260</v>
      </c>
      <c r="C112" s="21" t="s">
        <v>1058</v>
      </c>
      <c r="D112" s="3" t="s">
        <v>1102</v>
      </c>
      <c r="E112" s="33">
        <v>0</v>
      </c>
    </row>
    <row r="113" spans="1:7" x14ac:dyDescent="0.25">
      <c r="A113" s="42" t="s">
        <v>1271</v>
      </c>
      <c r="B113" s="39"/>
      <c r="C113" s="71" t="s">
        <v>2050</v>
      </c>
      <c r="D113" s="40" t="s">
        <v>439</v>
      </c>
      <c r="E113" s="41" t="s">
        <v>1267</v>
      </c>
      <c r="F113" s="39"/>
      <c r="G113" s="39" t="s">
        <v>1273</v>
      </c>
    </row>
    <row r="114" spans="1:7" x14ac:dyDescent="0.25">
      <c r="A114" s="21" t="s">
        <v>1271</v>
      </c>
      <c r="C114" s="14" t="s">
        <v>438</v>
      </c>
      <c r="D114" s="19" t="s">
        <v>440</v>
      </c>
      <c r="E114" s="14">
        <v>2</v>
      </c>
    </row>
    <row r="115" spans="1:7" x14ac:dyDescent="0.25">
      <c r="A115" s="21" t="s">
        <v>1272</v>
      </c>
      <c r="C115" s="21" t="s">
        <v>1267</v>
      </c>
      <c r="D115" s="3" t="s">
        <v>439</v>
      </c>
      <c r="E115" s="33" t="s">
        <v>1274</v>
      </c>
    </row>
    <row r="116" spans="1:7" x14ac:dyDescent="0.25">
      <c r="A116" s="21" t="s">
        <v>1804</v>
      </c>
      <c r="C116" s="2" t="s">
        <v>1293</v>
      </c>
      <c r="D116" s="3" t="s">
        <v>1156</v>
      </c>
      <c r="E116" s="33">
        <v>0</v>
      </c>
    </row>
    <row r="117" spans="1:7" x14ac:dyDescent="0.25">
      <c r="A117" s="42" t="s">
        <v>1329</v>
      </c>
      <c r="B117" s="39"/>
      <c r="C117" s="71" t="s">
        <v>2050</v>
      </c>
      <c r="D117" s="40" t="s">
        <v>439</v>
      </c>
      <c r="E117" s="41" t="s">
        <v>2056</v>
      </c>
      <c r="F117" s="39"/>
      <c r="G117" s="39" t="s">
        <v>1330</v>
      </c>
    </row>
    <row r="118" spans="1:7" x14ac:dyDescent="0.25">
      <c r="A118" s="21" t="s">
        <v>1328</v>
      </c>
      <c r="C118" s="21" t="s">
        <v>1319</v>
      </c>
      <c r="D118" s="37" t="s">
        <v>439</v>
      </c>
      <c r="E118" s="33" t="s">
        <v>520</v>
      </c>
    </row>
    <row r="119" spans="1:7" x14ac:dyDescent="0.25">
      <c r="A119" s="21" t="s">
        <v>1342</v>
      </c>
      <c r="C119" s="21" t="s">
        <v>1336</v>
      </c>
      <c r="D119" s="3" t="s">
        <v>439</v>
      </c>
      <c r="E119" s="33" t="s">
        <v>442</v>
      </c>
    </row>
    <row r="120" spans="1:7" x14ac:dyDescent="0.25">
      <c r="A120" s="21" t="s">
        <v>1614</v>
      </c>
      <c r="C120" s="44" t="s">
        <v>232</v>
      </c>
      <c r="D120" s="3" t="s">
        <v>439</v>
      </c>
      <c r="E120" s="33" t="s">
        <v>1618</v>
      </c>
    </row>
    <row r="121" spans="1:7" x14ac:dyDescent="0.25">
      <c r="A121" s="21" t="s">
        <v>1646</v>
      </c>
      <c r="C121" s="44" t="s">
        <v>232</v>
      </c>
      <c r="D121" s="3" t="s">
        <v>439</v>
      </c>
      <c r="E121" s="33" t="s">
        <v>1647</v>
      </c>
    </row>
    <row r="122" spans="1:7" x14ac:dyDescent="0.25">
      <c r="A122" s="2" t="s">
        <v>1648</v>
      </c>
      <c r="C122" s="44" t="s">
        <v>232</v>
      </c>
      <c r="D122" s="3" t="s">
        <v>1237</v>
      </c>
      <c r="E122" s="33" t="s">
        <v>1647</v>
      </c>
    </row>
    <row r="123" spans="1:7" x14ac:dyDescent="0.25">
      <c r="A123" s="43" t="s">
        <v>1783</v>
      </c>
      <c r="C123" s="77" t="s">
        <v>458</v>
      </c>
      <c r="D123" s="19" t="s">
        <v>439</v>
      </c>
      <c r="E123" s="14" t="s">
        <v>442</v>
      </c>
    </row>
    <row r="124" spans="1:7" x14ac:dyDescent="0.25">
      <c r="A124" s="43" t="s">
        <v>1783</v>
      </c>
      <c r="B124" s="2" t="s">
        <v>449</v>
      </c>
      <c r="C124" s="14" t="s">
        <v>470</v>
      </c>
      <c r="D124" s="19" t="s">
        <v>440</v>
      </c>
      <c r="E124" s="14">
        <v>1</v>
      </c>
    </row>
    <row r="125" spans="1:7" x14ac:dyDescent="0.25">
      <c r="A125" s="21" t="s">
        <v>1788</v>
      </c>
      <c r="C125" s="21" t="s">
        <v>242</v>
      </c>
      <c r="D125" s="3" t="s">
        <v>439</v>
      </c>
      <c r="E125" s="33" t="s">
        <v>442</v>
      </c>
    </row>
    <row r="126" spans="1:7" x14ac:dyDescent="0.25">
      <c r="A126" s="45" t="s">
        <v>1789</v>
      </c>
      <c r="B126" s="64"/>
      <c r="C126" s="64"/>
      <c r="D126" s="65"/>
      <c r="E126" s="66"/>
      <c r="F126" s="64"/>
      <c r="G126" s="64" t="s">
        <v>2038</v>
      </c>
    </row>
    <row r="127" spans="1:7" x14ac:dyDescent="0.25">
      <c r="A127" s="39" t="s">
        <v>1356</v>
      </c>
      <c r="B127" s="39"/>
      <c r="C127" s="71" t="s">
        <v>2050</v>
      </c>
      <c r="D127" s="40" t="s">
        <v>439</v>
      </c>
      <c r="E127" s="41" t="s">
        <v>2054</v>
      </c>
      <c r="F127" s="39"/>
      <c r="G127" s="39" t="s">
        <v>1803</v>
      </c>
    </row>
    <row r="128" spans="1:7" x14ac:dyDescent="0.25">
      <c r="A128" s="2" t="s">
        <v>1790</v>
      </c>
      <c r="C128" s="44" t="s">
        <v>302</v>
      </c>
      <c r="D128" s="3" t="s">
        <v>439</v>
      </c>
      <c r="E128" s="33" t="s">
        <v>1252</v>
      </c>
    </row>
    <row r="129" spans="1:6" x14ac:dyDescent="0.25">
      <c r="A129" s="2" t="s">
        <v>1791</v>
      </c>
      <c r="C129" s="44" t="s">
        <v>302</v>
      </c>
      <c r="D129" s="3" t="s">
        <v>439</v>
      </c>
      <c r="E129" s="33" t="s">
        <v>1811</v>
      </c>
    </row>
    <row r="130" spans="1:6" x14ac:dyDescent="0.25">
      <c r="A130" s="2" t="s">
        <v>1792</v>
      </c>
      <c r="C130" s="44" t="s">
        <v>302</v>
      </c>
      <c r="D130" s="3" t="s">
        <v>439</v>
      </c>
      <c r="E130" s="33" t="s">
        <v>1812</v>
      </c>
    </row>
    <row r="131" spans="1:6" x14ac:dyDescent="0.25">
      <c r="A131" s="2" t="s">
        <v>1793</v>
      </c>
      <c r="C131" s="44" t="s">
        <v>302</v>
      </c>
      <c r="D131" s="3" t="s">
        <v>439</v>
      </c>
      <c r="E131" s="33" t="s">
        <v>1813</v>
      </c>
    </row>
    <row r="132" spans="1:6" x14ac:dyDescent="0.25">
      <c r="A132" s="2" t="s">
        <v>1794</v>
      </c>
      <c r="C132" s="44" t="s">
        <v>302</v>
      </c>
      <c r="D132" s="3" t="s">
        <v>439</v>
      </c>
      <c r="E132" s="33" t="s">
        <v>1713</v>
      </c>
    </row>
    <row r="133" spans="1:6" x14ac:dyDescent="0.25">
      <c r="A133" s="2" t="s">
        <v>1796</v>
      </c>
      <c r="C133" s="44" t="s">
        <v>1649</v>
      </c>
      <c r="D133" s="3" t="s">
        <v>439</v>
      </c>
      <c r="E133" s="33" t="s">
        <v>1814</v>
      </c>
    </row>
    <row r="134" spans="1:6" x14ac:dyDescent="0.25">
      <c r="A134" s="2" t="s">
        <v>1796</v>
      </c>
      <c r="B134" s="2" t="s">
        <v>449</v>
      </c>
      <c r="C134" s="44" t="s">
        <v>1650</v>
      </c>
      <c r="D134" s="3" t="s">
        <v>439</v>
      </c>
      <c r="E134" s="33" t="s">
        <v>1815</v>
      </c>
    </row>
    <row r="135" spans="1:6" x14ac:dyDescent="0.25">
      <c r="A135" s="2" t="s">
        <v>1796</v>
      </c>
      <c r="B135" s="2" t="s">
        <v>443</v>
      </c>
      <c r="C135" s="44" t="s">
        <v>1649</v>
      </c>
      <c r="D135" s="3" t="s">
        <v>439</v>
      </c>
      <c r="E135" s="33" t="s">
        <v>1815</v>
      </c>
      <c r="F135" s="2" t="s">
        <v>1178</v>
      </c>
    </row>
    <row r="136" spans="1:6" x14ac:dyDescent="0.25">
      <c r="A136" s="2" t="s">
        <v>1796</v>
      </c>
      <c r="B136" s="2" t="s">
        <v>449</v>
      </c>
      <c r="C136" s="44" t="s">
        <v>1650</v>
      </c>
      <c r="D136" s="3" t="s">
        <v>439</v>
      </c>
      <c r="E136" s="33" t="s">
        <v>1814</v>
      </c>
      <c r="F136" s="2" t="s">
        <v>1179</v>
      </c>
    </row>
    <row r="137" spans="1:6" x14ac:dyDescent="0.25">
      <c r="A137" s="2" t="s">
        <v>1796</v>
      </c>
      <c r="B137" s="2" t="s">
        <v>443</v>
      </c>
      <c r="C137" s="44" t="s">
        <v>1649</v>
      </c>
      <c r="D137" s="3" t="s">
        <v>439</v>
      </c>
      <c r="E137" s="33" t="s">
        <v>1816</v>
      </c>
      <c r="F137" s="2" t="s">
        <v>1178</v>
      </c>
    </row>
    <row r="138" spans="1:6" x14ac:dyDescent="0.25">
      <c r="A138" s="2" t="s">
        <v>1796</v>
      </c>
      <c r="B138" s="2" t="s">
        <v>449</v>
      </c>
      <c r="C138" s="44" t="s">
        <v>1650</v>
      </c>
      <c r="D138" s="3" t="s">
        <v>439</v>
      </c>
      <c r="E138" s="33" t="s">
        <v>1815</v>
      </c>
      <c r="F138" s="2" t="s">
        <v>1179</v>
      </c>
    </row>
    <row r="139" spans="1:6" x14ac:dyDescent="0.25">
      <c r="A139" s="2" t="s">
        <v>1796</v>
      </c>
      <c r="B139" s="2" t="s">
        <v>443</v>
      </c>
      <c r="C139" s="44" t="s">
        <v>1649</v>
      </c>
      <c r="D139" s="3" t="s">
        <v>439</v>
      </c>
      <c r="E139" s="33" t="s">
        <v>1815</v>
      </c>
      <c r="F139" s="2" t="s">
        <v>1178</v>
      </c>
    </row>
    <row r="140" spans="1:6" x14ac:dyDescent="0.25">
      <c r="A140" s="2" t="s">
        <v>1796</v>
      </c>
      <c r="B140" s="2" t="s">
        <v>449</v>
      </c>
      <c r="C140" s="44" t="s">
        <v>1650</v>
      </c>
      <c r="D140" s="3" t="s">
        <v>439</v>
      </c>
      <c r="E140" s="33" t="s">
        <v>1816</v>
      </c>
      <c r="F140" s="2" t="s">
        <v>1179</v>
      </c>
    </row>
    <row r="141" spans="1:6" ht="30" x14ac:dyDescent="0.25">
      <c r="A141" s="2" t="s">
        <v>1796</v>
      </c>
      <c r="B141" s="2" t="s">
        <v>443</v>
      </c>
      <c r="C141" s="44" t="s">
        <v>1649</v>
      </c>
      <c r="D141" s="3" t="s">
        <v>439</v>
      </c>
      <c r="E141" s="33" t="s">
        <v>1817</v>
      </c>
      <c r="F141" s="2" t="s">
        <v>1178</v>
      </c>
    </row>
    <row r="142" spans="1:6" x14ac:dyDescent="0.25">
      <c r="A142" s="2" t="s">
        <v>1796</v>
      </c>
      <c r="B142" s="2" t="s">
        <v>449</v>
      </c>
      <c r="C142" s="44" t="s">
        <v>1650</v>
      </c>
      <c r="D142" s="3" t="s">
        <v>439</v>
      </c>
      <c r="E142" s="33" t="s">
        <v>1815</v>
      </c>
      <c r="F142" s="2" t="s">
        <v>1179</v>
      </c>
    </row>
    <row r="143" spans="1:6" x14ac:dyDescent="0.25">
      <c r="A143" s="2" t="s">
        <v>1796</v>
      </c>
      <c r="B143" s="2" t="s">
        <v>443</v>
      </c>
      <c r="C143" s="44" t="s">
        <v>1649</v>
      </c>
      <c r="D143" s="3" t="s">
        <v>439</v>
      </c>
      <c r="E143" s="33" t="s">
        <v>1815</v>
      </c>
      <c r="F143" s="2" t="s">
        <v>1178</v>
      </c>
    </row>
    <row r="144" spans="1:6" ht="30" x14ac:dyDescent="0.25">
      <c r="A144" s="2" t="s">
        <v>1796</v>
      </c>
      <c r="B144" s="2" t="s">
        <v>449</v>
      </c>
      <c r="C144" s="44" t="s">
        <v>1650</v>
      </c>
      <c r="D144" s="3" t="s">
        <v>439</v>
      </c>
      <c r="E144" s="33" t="s">
        <v>1817</v>
      </c>
      <c r="F144" s="2" t="s">
        <v>1179</v>
      </c>
    </row>
    <row r="145" spans="1:5" x14ac:dyDescent="0.25">
      <c r="A145" s="2" t="s">
        <v>1357</v>
      </c>
      <c r="C145" s="2" t="s">
        <v>1352</v>
      </c>
      <c r="D145" s="3" t="s">
        <v>439</v>
      </c>
      <c r="E145" s="33" t="s">
        <v>442</v>
      </c>
    </row>
    <row r="146" spans="1:5" x14ac:dyDescent="0.25">
      <c r="A146" s="21" t="s">
        <v>2065</v>
      </c>
      <c r="C146" s="21" t="s">
        <v>2063</v>
      </c>
      <c r="D146" s="3" t="s">
        <v>439</v>
      </c>
      <c r="E146" s="33" t="s">
        <v>442</v>
      </c>
    </row>
    <row r="147" spans="1:5" x14ac:dyDescent="0.25">
      <c r="A147" s="2" t="s">
        <v>390</v>
      </c>
      <c r="C147" s="2" t="s">
        <v>386</v>
      </c>
      <c r="D147" s="3" t="s">
        <v>439</v>
      </c>
      <c r="E147" s="33" t="s">
        <v>442</v>
      </c>
    </row>
    <row r="148" spans="1:5" x14ac:dyDescent="0.25">
      <c r="A148" s="2" t="s">
        <v>390</v>
      </c>
      <c r="B148" s="2" t="s">
        <v>449</v>
      </c>
      <c r="C148" s="21" t="s">
        <v>40</v>
      </c>
      <c r="D148" s="3" t="s">
        <v>439</v>
      </c>
    </row>
    <row r="149" spans="1:5" x14ac:dyDescent="0.25">
      <c r="A149" s="2" t="s">
        <v>2128</v>
      </c>
      <c r="C149" s="44" t="s">
        <v>232</v>
      </c>
      <c r="D149" s="3" t="s">
        <v>439</v>
      </c>
      <c r="E149" s="33" t="s">
        <v>27</v>
      </c>
    </row>
    <row r="150" spans="1:5" x14ac:dyDescent="0.25">
      <c r="A150" s="2" t="s">
        <v>2129</v>
      </c>
      <c r="C150" s="44" t="s">
        <v>232</v>
      </c>
      <c r="D150" s="3" t="s">
        <v>1237</v>
      </c>
      <c r="E150" s="33" t="s">
        <v>27</v>
      </c>
    </row>
    <row r="151" spans="1:5" x14ac:dyDescent="0.25">
      <c r="A151" s="21" t="s">
        <v>2175</v>
      </c>
      <c r="C151" s="59" t="s">
        <v>238</v>
      </c>
      <c r="D151" s="3" t="s">
        <v>1237</v>
      </c>
      <c r="E151" s="33" t="s">
        <v>2176</v>
      </c>
    </row>
  </sheetData>
  <conditionalFormatting sqref="A125:A126">
    <cfRule type="containsText" dxfId="0" priority="1" operator="containsText" text="Custom">
      <formula>NOT(ISERROR(SEARCH("Custom",A125)))</formula>
    </cfRule>
  </conditionalFormatting>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I299"/>
  <sheetViews>
    <sheetView tabSelected="1" topLeftCell="A291" zoomScaleNormal="100" workbookViewId="0">
      <selection activeCell="A299" sqref="A299"/>
    </sheetView>
  </sheetViews>
  <sheetFormatPr baseColWidth="10" defaultColWidth="9.140625" defaultRowHeight="15" x14ac:dyDescent="0.25"/>
  <cols>
    <col min="1" max="1" width="44.28515625" style="5" bestFit="1" customWidth="1"/>
    <col min="2" max="2" width="46.5703125" style="5" bestFit="1" customWidth="1"/>
    <col min="3" max="3" width="51.7109375" style="33" customWidth="1"/>
    <col min="4" max="4" width="56.7109375" style="33" bestFit="1" customWidth="1"/>
    <col min="5" max="5" width="13.7109375" style="5" customWidth="1"/>
    <col min="6" max="6" width="14.7109375" style="5" customWidth="1"/>
    <col min="7" max="7" width="21.5703125" style="5" bestFit="1" customWidth="1"/>
    <col min="8" max="8" width="37.28515625" style="5" bestFit="1" customWidth="1"/>
    <col min="9" max="16384" width="9.140625" style="5"/>
  </cols>
  <sheetData>
    <row r="1" spans="1:9" ht="17.25" customHeight="1" x14ac:dyDescent="0.25">
      <c r="A1" s="9" t="s">
        <v>515</v>
      </c>
      <c r="B1" s="9" t="s">
        <v>435</v>
      </c>
      <c r="C1" s="13" t="s">
        <v>6</v>
      </c>
      <c r="D1" s="13" t="s">
        <v>1387</v>
      </c>
      <c r="E1" s="13" t="s">
        <v>8</v>
      </c>
      <c r="F1" s="13" t="s">
        <v>9</v>
      </c>
      <c r="G1" s="9" t="s">
        <v>516</v>
      </c>
      <c r="H1" s="9" t="s">
        <v>12</v>
      </c>
      <c r="I1" s="10" t="s">
        <v>517</v>
      </c>
    </row>
    <row r="2" spans="1:9" x14ac:dyDescent="0.25">
      <c r="A2" s="11" t="s">
        <v>442</v>
      </c>
      <c r="B2" s="11" t="s">
        <v>442</v>
      </c>
      <c r="C2" s="14" t="s">
        <v>518</v>
      </c>
      <c r="D2" s="2" t="s">
        <v>519</v>
      </c>
      <c r="E2" s="14"/>
      <c r="F2" s="14"/>
      <c r="G2" s="11"/>
      <c r="H2" s="11"/>
      <c r="I2" s="11"/>
    </row>
    <row r="3" spans="1:9" x14ac:dyDescent="0.25">
      <c r="A3" s="11" t="s">
        <v>520</v>
      </c>
      <c r="B3" s="11" t="s">
        <v>520</v>
      </c>
      <c r="C3" s="14" t="s">
        <v>521</v>
      </c>
      <c r="D3" s="2" t="s">
        <v>522</v>
      </c>
      <c r="E3" s="14"/>
      <c r="F3" s="14"/>
      <c r="G3" s="11"/>
      <c r="H3" s="11"/>
      <c r="I3" s="11"/>
    </row>
    <row r="4" spans="1:9" x14ac:dyDescent="0.25">
      <c r="A4" s="11" t="s">
        <v>115</v>
      </c>
      <c r="B4" s="11" t="s">
        <v>115</v>
      </c>
      <c r="C4" s="29" t="s">
        <v>1125</v>
      </c>
      <c r="D4" s="2" t="s">
        <v>523</v>
      </c>
      <c r="E4" s="14"/>
      <c r="F4" s="14"/>
      <c r="G4" s="11"/>
      <c r="H4" s="11"/>
      <c r="I4" s="11"/>
    </row>
    <row r="5" spans="1:9" x14ac:dyDescent="0.25">
      <c r="A5" s="11" t="s">
        <v>524</v>
      </c>
      <c r="B5" s="11" t="s">
        <v>115</v>
      </c>
      <c r="C5" s="14" t="s">
        <v>525</v>
      </c>
      <c r="D5" s="2" t="s">
        <v>526</v>
      </c>
      <c r="E5" s="14"/>
      <c r="F5" s="14"/>
      <c r="G5" s="11"/>
      <c r="H5" s="11"/>
      <c r="I5" s="11"/>
    </row>
    <row r="6" spans="1:9" x14ac:dyDescent="0.25">
      <c r="A6" s="11" t="s">
        <v>527</v>
      </c>
      <c r="B6" s="11" t="s">
        <v>527</v>
      </c>
      <c r="C6" s="14" t="s">
        <v>528</v>
      </c>
      <c r="D6" s="2" t="s">
        <v>1388</v>
      </c>
      <c r="E6" s="14"/>
      <c r="F6" s="14"/>
      <c r="G6" s="11"/>
      <c r="H6" s="11"/>
      <c r="I6" s="11"/>
    </row>
    <row r="7" spans="1:9" x14ac:dyDescent="0.25">
      <c r="A7" s="11" t="s">
        <v>446</v>
      </c>
      <c r="B7" s="11" t="s">
        <v>446</v>
      </c>
      <c r="C7" s="14" t="s">
        <v>530</v>
      </c>
      <c r="D7" s="2" t="s">
        <v>1389</v>
      </c>
      <c r="E7" s="14"/>
      <c r="F7" s="14"/>
      <c r="G7" s="11"/>
      <c r="H7" s="11"/>
      <c r="I7" s="11"/>
    </row>
    <row r="8" spans="1:9" x14ac:dyDescent="0.25">
      <c r="A8" s="11" t="s">
        <v>36</v>
      </c>
      <c r="B8" s="11"/>
      <c r="C8" s="14"/>
      <c r="D8" s="2"/>
      <c r="E8" s="14"/>
      <c r="F8" s="14"/>
      <c r="G8" s="11" t="s">
        <v>442</v>
      </c>
      <c r="H8" s="11"/>
      <c r="I8" s="11"/>
    </row>
    <row r="9" spans="1:9" x14ac:dyDescent="0.25">
      <c r="A9" s="11" t="s">
        <v>36</v>
      </c>
      <c r="B9" s="11"/>
      <c r="C9" s="14"/>
      <c r="D9" s="2"/>
      <c r="E9" s="14"/>
      <c r="F9" s="14"/>
      <c r="G9" s="11" t="s">
        <v>520</v>
      </c>
      <c r="H9" s="11"/>
      <c r="I9" s="11"/>
    </row>
    <row r="10" spans="1:9" x14ac:dyDescent="0.25">
      <c r="A10" s="11" t="s">
        <v>128</v>
      </c>
      <c r="B10" s="11"/>
      <c r="C10" s="14"/>
      <c r="D10" s="2"/>
      <c r="E10" s="14"/>
      <c r="F10" s="14"/>
      <c r="G10" s="11" t="s">
        <v>36</v>
      </c>
      <c r="H10" s="11"/>
      <c r="I10" s="11"/>
    </row>
    <row r="11" spans="1:9" x14ac:dyDescent="0.25">
      <c r="A11" s="11" t="s">
        <v>128</v>
      </c>
      <c r="B11" s="11"/>
      <c r="C11" s="14"/>
      <c r="D11" s="2"/>
      <c r="E11" s="14"/>
      <c r="F11" s="14"/>
      <c r="G11" s="11" t="s">
        <v>527</v>
      </c>
      <c r="H11" s="11"/>
      <c r="I11" s="11"/>
    </row>
    <row r="12" spans="1:9" x14ac:dyDescent="0.25">
      <c r="A12" s="11" t="s">
        <v>78</v>
      </c>
      <c r="B12" s="11"/>
      <c r="C12" s="14"/>
      <c r="D12" s="2"/>
      <c r="E12" s="14"/>
      <c r="F12" s="14"/>
      <c r="G12" s="11" t="s">
        <v>442</v>
      </c>
      <c r="H12" s="11"/>
      <c r="I12" s="11"/>
    </row>
    <row r="13" spans="1:9" customFormat="1" x14ac:dyDescent="0.25">
      <c r="A13" s="11" t="s">
        <v>78</v>
      </c>
      <c r="B13" s="11"/>
      <c r="C13" s="14"/>
      <c r="D13" s="2"/>
      <c r="E13" s="14"/>
      <c r="F13" s="14"/>
      <c r="G13" s="11" t="s">
        <v>520</v>
      </c>
      <c r="H13" s="11"/>
      <c r="I13" s="11"/>
    </row>
    <row r="14" spans="1:9" customFormat="1" x14ac:dyDescent="0.25">
      <c r="A14" s="11" t="s">
        <v>78</v>
      </c>
      <c r="B14" s="11"/>
      <c r="C14" s="14"/>
      <c r="D14" s="2"/>
      <c r="E14" s="14"/>
      <c r="F14" s="14"/>
      <c r="G14" s="11" t="s">
        <v>446</v>
      </c>
      <c r="H14" s="11"/>
      <c r="I14" s="11"/>
    </row>
    <row r="15" spans="1:9" x14ac:dyDescent="0.25">
      <c r="A15" s="12" t="s">
        <v>97</v>
      </c>
      <c r="B15" s="11" t="s">
        <v>531</v>
      </c>
      <c r="C15" s="14" t="s">
        <v>532</v>
      </c>
      <c r="D15" s="2" t="s">
        <v>535</v>
      </c>
      <c r="E15" s="14"/>
      <c r="F15" s="14"/>
      <c r="G15" s="11"/>
      <c r="H15" s="11"/>
      <c r="I15" s="11"/>
    </row>
    <row r="16" spans="1:9" x14ac:dyDescent="0.25">
      <c r="A16" s="12" t="s">
        <v>97</v>
      </c>
      <c r="B16" s="11" t="s">
        <v>533</v>
      </c>
      <c r="C16" s="14" t="s">
        <v>534</v>
      </c>
      <c r="D16" s="2" t="s">
        <v>536</v>
      </c>
      <c r="E16" s="14"/>
      <c r="F16" s="14"/>
      <c r="G16" s="11"/>
      <c r="H16" s="11"/>
      <c r="I16" s="11"/>
    </row>
    <row r="17" spans="1:9" x14ac:dyDescent="0.25">
      <c r="A17" s="12" t="s">
        <v>97</v>
      </c>
      <c r="B17" s="11"/>
      <c r="C17" s="14"/>
      <c r="D17" s="2"/>
      <c r="E17" s="14"/>
      <c r="F17" s="14"/>
      <c r="G17" s="11" t="s">
        <v>446</v>
      </c>
      <c r="H17" s="11"/>
      <c r="I17" s="11"/>
    </row>
    <row r="18" spans="1:9" x14ac:dyDescent="0.25">
      <c r="A18" s="12" t="s">
        <v>101</v>
      </c>
      <c r="B18" s="11" t="s">
        <v>531</v>
      </c>
      <c r="C18" s="14" t="s">
        <v>532</v>
      </c>
      <c r="D18" s="2" t="s">
        <v>535</v>
      </c>
      <c r="E18" s="14"/>
      <c r="F18" s="14"/>
      <c r="G18" s="11"/>
      <c r="H18" s="11"/>
      <c r="I18" s="11"/>
    </row>
    <row r="19" spans="1:9" x14ac:dyDescent="0.25">
      <c r="A19" s="12" t="s">
        <v>101</v>
      </c>
      <c r="B19" s="11" t="s">
        <v>533</v>
      </c>
      <c r="C19" s="14" t="s">
        <v>534</v>
      </c>
      <c r="D19" s="2" t="s">
        <v>536</v>
      </c>
      <c r="E19" s="14"/>
      <c r="F19" s="14"/>
      <c r="G19" s="11"/>
      <c r="H19" s="11"/>
      <c r="I19" s="11"/>
    </row>
    <row r="20" spans="1:9" x14ac:dyDescent="0.25">
      <c r="A20" s="12" t="s">
        <v>101</v>
      </c>
      <c r="B20" s="11" t="s">
        <v>102</v>
      </c>
      <c r="C20" s="27" t="s">
        <v>1070</v>
      </c>
      <c r="D20" s="2" t="s">
        <v>1390</v>
      </c>
      <c r="E20" s="14"/>
      <c r="F20" s="14"/>
      <c r="G20" s="11"/>
      <c r="H20" s="11"/>
      <c r="I20" s="11"/>
    </row>
    <row r="21" spans="1:9" x14ac:dyDescent="0.25">
      <c r="A21" s="12" t="s">
        <v>101</v>
      </c>
      <c r="B21" s="11"/>
      <c r="C21" s="14"/>
      <c r="D21" s="2"/>
      <c r="E21" s="14"/>
      <c r="F21" s="14"/>
      <c r="G21" s="11" t="s">
        <v>446</v>
      </c>
      <c r="H21" s="11"/>
      <c r="I21" s="11"/>
    </row>
    <row r="22" spans="1:9" x14ac:dyDescent="0.25">
      <c r="A22" s="11" t="s">
        <v>106</v>
      </c>
      <c r="B22" s="11" t="s">
        <v>475</v>
      </c>
      <c r="C22" s="14" t="s">
        <v>537</v>
      </c>
      <c r="D22" s="2" t="s">
        <v>1391</v>
      </c>
      <c r="E22" s="14"/>
      <c r="F22" s="14"/>
      <c r="G22" s="11"/>
      <c r="H22" s="11"/>
      <c r="I22" s="11"/>
    </row>
    <row r="23" spans="1:9" x14ac:dyDescent="0.25">
      <c r="A23" s="11" t="s">
        <v>106</v>
      </c>
      <c r="B23" s="11" t="s">
        <v>476</v>
      </c>
      <c r="C23" s="14" t="s">
        <v>538</v>
      </c>
      <c r="D23" s="2" t="s">
        <v>539</v>
      </c>
      <c r="E23" s="14"/>
      <c r="F23" s="14"/>
      <c r="G23" s="11"/>
      <c r="H23" s="11"/>
      <c r="I23" s="11"/>
    </row>
    <row r="24" spans="1:9" x14ac:dyDescent="0.25">
      <c r="A24" s="11" t="s">
        <v>106</v>
      </c>
      <c r="B24" s="11"/>
      <c r="C24" s="14"/>
      <c r="D24" s="2"/>
      <c r="E24" s="14"/>
      <c r="F24" s="14"/>
      <c r="G24" s="11" t="s">
        <v>520</v>
      </c>
      <c r="H24" s="11"/>
      <c r="I24" s="11"/>
    </row>
    <row r="25" spans="1:9" x14ac:dyDescent="0.25">
      <c r="A25" s="11" t="s">
        <v>112</v>
      </c>
      <c r="B25" s="11" t="s">
        <v>475</v>
      </c>
      <c r="C25" s="14" t="s">
        <v>540</v>
      </c>
      <c r="D25" s="2" t="s">
        <v>541</v>
      </c>
      <c r="E25" s="14"/>
      <c r="F25" s="14"/>
      <c r="G25" s="11"/>
      <c r="H25" s="11"/>
      <c r="I25" s="11"/>
    </row>
    <row r="26" spans="1:9" x14ac:dyDescent="0.25">
      <c r="A26" s="11" t="s">
        <v>112</v>
      </c>
      <c r="B26" s="11" t="s">
        <v>476</v>
      </c>
      <c r="C26" s="14" t="s">
        <v>542</v>
      </c>
      <c r="D26" s="2" t="s">
        <v>543</v>
      </c>
      <c r="E26" s="14"/>
      <c r="F26" s="14"/>
      <c r="G26" s="11"/>
      <c r="H26" s="11"/>
      <c r="I26" s="11"/>
    </row>
    <row r="27" spans="1:9" x14ac:dyDescent="0.25">
      <c r="A27" s="11" t="s">
        <v>112</v>
      </c>
      <c r="B27" s="11"/>
      <c r="C27" s="14"/>
      <c r="D27" s="2"/>
      <c r="E27" s="14"/>
      <c r="F27" s="14"/>
      <c r="G27" s="11" t="s">
        <v>520</v>
      </c>
      <c r="H27" s="11"/>
      <c r="I27" s="11"/>
    </row>
    <row r="28" spans="1:9" x14ac:dyDescent="0.25">
      <c r="A28" s="11" t="s">
        <v>113</v>
      </c>
      <c r="B28" s="11" t="s">
        <v>544</v>
      </c>
      <c r="C28" s="14" t="s">
        <v>545</v>
      </c>
      <c r="D28" s="2" t="s">
        <v>1392</v>
      </c>
      <c r="E28" s="14"/>
      <c r="F28" s="14"/>
      <c r="G28" s="11"/>
      <c r="H28" s="11" t="s">
        <v>453</v>
      </c>
      <c r="I28" s="11"/>
    </row>
    <row r="29" spans="1:9" x14ac:dyDescent="0.25">
      <c r="A29" s="11" t="s">
        <v>113</v>
      </c>
      <c r="B29" s="11" t="s">
        <v>546</v>
      </c>
      <c r="C29" s="14" t="s">
        <v>547</v>
      </c>
      <c r="D29" s="2" t="s">
        <v>548</v>
      </c>
      <c r="E29" s="14"/>
      <c r="F29" s="14"/>
      <c r="G29" s="11"/>
      <c r="H29" s="11" t="s">
        <v>451</v>
      </c>
      <c r="I29" s="11"/>
    </row>
    <row r="30" spans="1:9" x14ac:dyDescent="0.25">
      <c r="A30" s="11" t="s">
        <v>113</v>
      </c>
      <c r="B30" s="11" t="s">
        <v>549</v>
      </c>
      <c r="C30" s="14" t="s">
        <v>550</v>
      </c>
      <c r="D30" s="2" t="s">
        <v>1393</v>
      </c>
      <c r="E30" s="14"/>
      <c r="F30" s="14"/>
      <c r="G30" s="11"/>
      <c r="H30" s="11" t="s">
        <v>454</v>
      </c>
      <c r="I30" s="11"/>
    </row>
    <row r="31" spans="1:9" x14ac:dyDescent="0.25">
      <c r="A31" s="11" t="s">
        <v>113</v>
      </c>
      <c r="B31" s="11" t="s">
        <v>551</v>
      </c>
      <c r="C31" s="14" t="s">
        <v>552</v>
      </c>
      <c r="D31" s="2" t="s">
        <v>1394</v>
      </c>
      <c r="E31" s="14"/>
      <c r="F31" s="14"/>
      <c r="G31" s="11"/>
      <c r="H31" s="11" t="s">
        <v>452</v>
      </c>
      <c r="I31" s="11"/>
    </row>
    <row r="32" spans="1:9" x14ac:dyDescent="0.25">
      <c r="A32" s="11" t="s">
        <v>113</v>
      </c>
      <c r="B32" s="11" t="s">
        <v>553</v>
      </c>
      <c r="C32" s="14" t="s">
        <v>554</v>
      </c>
      <c r="D32" s="2" t="s">
        <v>555</v>
      </c>
      <c r="E32" s="14"/>
      <c r="F32" s="14"/>
      <c r="G32" s="11"/>
      <c r="H32" s="11" t="s">
        <v>453</v>
      </c>
      <c r="I32" s="11"/>
    </row>
    <row r="33" spans="1:9" x14ac:dyDescent="0.25">
      <c r="A33" s="11" t="s">
        <v>113</v>
      </c>
      <c r="B33" s="11" t="s">
        <v>556</v>
      </c>
      <c r="C33" s="14" t="s">
        <v>557</v>
      </c>
      <c r="D33" s="2" t="s">
        <v>558</v>
      </c>
      <c r="E33" s="14"/>
      <c r="F33" s="14"/>
      <c r="G33" s="11"/>
      <c r="H33" s="11" t="s">
        <v>123</v>
      </c>
      <c r="I33" s="11"/>
    </row>
    <row r="34" spans="1:9" x14ac:dyDescent="0.25">
      <c r="A34" s="11" t="s">
        <v>113</v>
      </c>
      <c r="B34" s="11"/>
      <c r="C34" s="14"/>
      <c r="D34" s="2"/>
      <c r="E34" s="14"/>
      <c r="F34" s="14"/>
      <c r="G34" s="11" t="s">
        <v>115</v>
      </c>
      <c r="H34" s="11"/>
      <c r="I34" s="11"/>
    </row>
    <row r="35" spans="1:9" x14ac:dyDescent="0.25">
      <c r="A35" s="11" t="s">
        <v>116</v>
      </c>
      <c r="B35" s="11" t="s">
        <v>460</v>
      </c>
      <c r="C35" s="14" t="s">
        <v>559</v>
      </c>
      <c r="D35" s="2" t="s">
        <v>1395</v>
      </c>
      <c r="E35" s="14"/>
      <c r="F35" s="14"/>
      <c r="G35" s="11"/>
      <c r="H35" s="11"/>
      <c r="I35" s="11" t="s">
        <v>560</v>
      </c>
    </row>
    <row r="36" spans="1:9" x14ac:dyDescent="0.25">
      <c r="A36" s="11" t="s">
        <v>116</v>
      </c>
      <c r="B36" s="11" t="s">
        <v>461</v>
      </c>
      <c r="C36" s="14" t="s">
        <v>561</v>
      </c>
      <c r="D36" s="2" t="s">
        <v>562</v>
      </c>
      <c r="E36" s="14"/>
      <c r="F36" s="14"/>
      <c r="G36" s="11"/>
      <c r="H36" s="11"/>
      <c r="I36" s="11" t="s">
        <v>560</v>
      </c>
    </row>
    <row r="37" spans="1:9" x14ac:dyDescent="0.25">
      <c r="A37" s="11" t="s">
        <v>116</v>
      </c>
      <c r="B37" s="11" t="s">
        <v>462</v>
      </c>
      <c r="C37" s="14" t="s">
        <v>563</v>
      </c>
      <c r="D37" s="2" t="s">
        <v>564</v>
      </c>
      <c r="E37" s="14"/>
      <c r="F37" s="14"/>
      <c r="G37" s="11"/>
      <c r="H37" s="11"/>
      <c r="I37" s="11" t="s">
        <v>560</v>
      </c>
    </row>
    <row r="38" spans="1:9" x14ac:dyDescent="0.25">
      <c r="A38" s="11" t="s">
        <v>116</v>
      </c>
      <c r="B38" s="11" t="s">
        <v>463</v>
      </c>
      <c r="C38" s="14" t="s">
        <v>565</v>
      </c>
      <c r="D38" s="2" t="s">
        <v>566</v>
      </c>
      <c r="E38" s="14"/>
      <c r="F38" s="14"/>
      <c r="G38" s="11"/>
      <c r="H38" s="11"/>
      <c r="I38" s="11" t="s">
        <v>560</v>
      </c>
    </row>
    <row r="39" spans="1:9" x14ac:dyDescent="0.25">
      <c r="A39" s="11" t="s">
        <v>116</v>
      </c>
      <c r="B39" s="11" t="s">
        <v>464</v>
      </c>
      <c r="C39" s="14" t="s">
        <v>567</v>
      </c>
      <c r="D39" s="2" t="s">
        <v>568</v>
      </c>
      <c r="E39" s="14"/>
      <c r="F39" s="14"/>
      <c r="G39" s="11"/>
      <c r="H39" s="11"/>
      <c r="I39" s="11" t="s">
        <v>560</v>
      </c>
    </row>
    <row r="40" spans="1:9" x14ac:dyDescent="0.25">
      <c r="A40" s="11" t="s">
        <v>116</v>
      </c>
      <c r="B40" s="11" t="s">
        <v>569</v>
      </c>
      <c r="C40" s="29" t="s">
        <v>1205</v>
      </c>
      <c r="D40" s="2" t="s">
        <v>1396</v>
      </c>
      <c r="E40" s="14"/>
      <c r="F40" s="14"/>
      <c r="G40" s="11"/>
      <c r="H40" s="11" t="s">
        <v>457</v>
      </c>
      <c r="I40" s="11"/>
    </row>
    <row r="41" spans="1:9" x14ac:dyDescent="0.25">
      <c r="A41" s="11" t="s">
        <v>116</v>
      </c>
      <c r="B41" s="11" t="s">
        <v>553</v>
      </c>
      <c r="C41" s="14" t="s">
        <v>554</v>
      </c>
      <c r="D41" s="2" t="s">
        <v>555</v>
      </c>
      <c r="E41" s="14"/>
      <c r="F41" s="14"/>
      <c r="G41" s="11"/>
      <c r="H41" s="11" t="s">
        <v>1206</v>
      </c>
      <c r="I41" s="11"/>
    </row>
    <row r="42" spans="1:9" x14ac:dyDescent="0.25">
      <c r="A42" s="11" t="s">
        <v>116</v>
      </c>
      <c r="B42" s="11" t="s">
        <v>570</v>
      </c>
      <c r="C42" s="14" t="s">
        <v>571</v>
      </c>
      <c r="D42" s="2" t="s">
        <v>1397</v>
      </c>
      <c r="E42" s="14"/>
      <c r="F42" s="14"/>
      <c r="G42" s="11"/>
      <c r="H42" s="11"/>
      <c r="I42" s="11"/>
    </row>
    <row r="43" spans="1:9" x14ac:dyDescent="0.25">
      <c r="A43" s="11" t="s">
        <v>116</v>
      </c>
      <c r="B43" s="11" t="s">
        <v>473</v>
      </c>
      <c r="C43" s="14" t="s">
        <v>572</v>
      </c>
      <c r="D43" s="2" t="s">
        <v>573</v>
      </c>
      <c r="E43" s="14"/>
      <c r="F43" s="14"/>
      <c r="G43" s="11"/>
      <c r="H43" s="11"/>
      <c r="I43" s="11"/>
    </row>
    <row r="44" spans="1:9" x14ac:dyDescent="0.25">
      <c r="A44" s="11" t="s">
        <v>116</v>
      </c>
      <c r="B44" s="11" t="s">
        <v>574</v>
      </c>
      <c r="C44" s="14" t="s">
        <v>575</v>
      </c>
      <c r="D44" s="2" t="s">
        <v>576</v>
      </c>
      <c r="E44" s="14"/>
      <c r="F44" s="14"/>
      <c r="G44" s="11"/>
      <c r="H44" s="11"/>
      <c r="I44" s="11"/>
    </row>
    <row r="45" spans="1:9" x14ac:dyDescent="0.25">
      <c r="A45" s="11" t="s">
        <v>116</v>
      </c>
      <c r="B45" s="11" t="s">
        <v>577</v>
      </c>
      <c r="C45" s="14" t="s">
        <v>578</v>
      </c>
      <c r="D45" s="2" t="s">
        <v>579</v>
      </c>
      <c r="E45" s="14"/>
      <c r="F45" s="14"/>
      <c r="G45" s="11"/>
      <c r="H45" s="11"/>
      <c r="I45" s="11"/>
    </row>
    <row r="46" spans="1:9" x14ac:dyDescent="0.25">
      <c r="A46" s="11" t="s">
        <v>116</v>
      </c>
      <c r="B46" s="11" t="s">
        <v>115</v>
      </c>
      <c r="C46" s="14" t="s">
        <v>525</v>
      </c>
      <c r="D46" s="2" t="s">
        <v>526</v>
      </c>
      <c r="E46" s="14"/>
      <c r="F46" s="14"/>
      <c r="G46" s="11"/>
      <c r="H46" s="11"/>
      <c r="I46" s="11"/>
    </row>
    <row r="47" spans="1:9" x14ac:dyDescent="0.25">
      <c r="A47" s="11" t="s">
        <v>116</v>
      </c>
      <c r="B47" s="11"/>
      <c r="C47" s="14"/>
      <c r="D47" s="2"/>
      <c r="E47" s="14"/>
      <c r="F47" s="14"/>
      <c r="G47" s="11" t="s">
        <v>446</v>
      </c>
      <c r="H47" s="11"/>
      <c r="I47" s="11"/>
    </row>
    <row r="48" spans="1:9" x14ac:dyDescent="0.25">
      <c r="A48" s="11" t="s">
        <v>132</v>
      </c>
      <c r="B48" s="11"/>
      <c r="C48" s="14"/>
      <c r="D48" s="2"/>
      <c r="E48" s="14"/>
      <c r="F48" s="14"/>
      <c r="G48" s="11" t="s">
        <v>520</v>
      </c>
      <c r="H48" s="11"/>
      <c r="I48" s="11"/>
    </row>
    <row r="49" spans="1:9" x14ac:dyDescent="0.25">
      <c r="A49" s="11" t="s">
        <v>132</v>
      </c>
      <c r="B49" s="11" t="s">
        <v>581</v>
      </c>
      <c r="C49" s="14" t="s">
        <v>582</v>
      </c>
      <c r="D49" s="2" t="s">
        <v>1398</v>
      </c>
      <c r="E49" s="14"/>
      <c r="F49" s="14"/>
      <c r="G49" s="11"/>
      <c r="H49" s="11"/>
      <c r="I49" s="11"/>
    </row>
    <row r="50" spans="1:9" x14ac:dyDescent="0.25">
      <c r="A50" s="11" t="s">
        <v>132</v>
      </c>
      <c r="B50" s="11" t="s">
        <v>583</v>
      </c>
      <c r="C50" s="14" t="s">
        <v>584</v>
      </c>
      <c r="D50" s="2" t="s">
        <v>1399</v>
      </c>
      <c r="E50" s="14"/>
      <c r="F50" s="14"/>
      <c r="G50" s="11"/>
      <c r="H50" s="11"/>
      <c r="I50" s="11"/>
    </row>
    <row r="51" spans="1:9" x14ac:dyDescent="0.25">
      <c r="A51" s="11" t="s">
        <v>132</v>
      </c>
      <c r="B51" s="11"/>
      <c r="C51" s="14"/>
      <c r="D51" s="2"/>
      <c r="E51" s="14"/>
      <c r="F51" s="14"/>
      <c r="G51" s="11" t="s">
        <v>527</v>
      </c>
      <c r="H51" s="11"/>
      <c r="I51" s="11"/>
    </row>
    <row r="52" spans="1:9" x14ac:dyDescent="0.25">
      <c r="A52" s="12" t="s">
        <v>138</v>
      </c>
      <c r="B52" s="11" t="s">
        <v>466</v>
      </c>
      <c r="C52" s="14" t="s">
        <v>585</v>
      </c>
      <c r="D52" s="2" t="s">
        <v>1400</v>
      </c>
      <c r="E52" s="14"/>
      <c r="F52" s="14"/>
      <c r="G52" s="11"/>
      <c r="H52" s="11"/>
      <c r="I52" s="11"/>
    </row>
    <row r="53" spans="1:9" x14ac:dyDescent="0.25">
      <c r="A53" s="12" t="s">
        <v>138</v>
      </c>
      <c r="B53" s="11" t="s">
        <v>467</v>
      </c>
      <c r="C53" s="14" t="s">
        <v>586</v>
      </c>
      <c r="D53" s="2" t="s">
        <v>587</v>
      </c>
      <c r="E53" s="14"/>
      <c r="F53" s="14"/>
      <c r="G53" s="11"/>
      <c r="H53" s="11"/>
      <c r="I53" s="11"/>
    </row>
    <row r="54" spans="1:9" ht="30" x14ac:dyDescent="0.25">
      <c r="A54" s="12" t="s">
        <v>138</v>
      </c>
      <c r="B54" s="11" t="s">
        <v>468</v>
      </c>
      <c r="C54" s="79" t="s">
        <v>2185</v>
      </c>
      <c r="D54" s="2" t="s">
        <v>1401</v>
      </c>
      <c r="E54" s="14"/>
      <c r="F54" s="14"/>
      <c r="G54" s="11"/>
      <c r="H54" s="11"/>
      <c r="I54" s="11"/>
    </row>
    <row r="55" spans="1:9" x14ac:dyDescent="0.25">
      <c r="A55" s="12" t="s">
        <v>138</v>
      </c>
      <c r="B55" s="11" t="s">
        <v>588</v>
      </c>
      <c r="C55" s="14" t="s">
        <v>589</v>
      </c>
      <c r="D55" s="2" t="s">
        <v>590</v>
      </c>
      <c r="E55" s="14"/>
      <c r="F55" s="14"/>
      <c r="G55" s="11"/>
      <c r="H55" s="11"/>
      <c r="I55" s="11"/>
    </row>
    <row r="56" spans="1:9" x14ac:dyDescent="0.25">
      <c r="A56" s="12" t="s">
        <v>138</v>
      </c>
      <c r="B56" s="11" t="s">
        <v>472</v>
      </c>
      <c r="C56" s="14" t="s">
        <v>591</v>
      </c>
      <c r="D56" s="2" t="s">
        <v>1402</v>
      </c>
      <c r="E56" s="14"/>
      <c r="F56" s="14"/>
      <c r="G56" s="11"/>
      <c r="H56" s="11"/>
      <c r="I56" s="11"/>
    </row>
    <row r="57" spans="1:9" x14ac:dyDescent="0.25">
      <c r="A57" s="12" t="s">
        <v>141</v>
      </c>
      <c r="B57" s="11" t="s">
        <v>466</v>
      </c>
      <c r="C57" s="14" t="s">
        <v>592</v>
      </c>
      <c r="D57" s="2" t="s">
        <v>1403</v>
      </c>
      <c r="E57" s="14"/>
      <c r="F57" s="14"/>
      <c r="G57" s="11"/>
      <c r="H57" s="11"/>
      <c r="I57" s="11"/>
    </row>
    <row r="58" spans="1:9" ht="30" x14ac:dyDescent="0.25">
      <c r="A58" s="12" t="s">
        <v>141</v>
      </c>
      <c r="B58" s="11" t="s">
        <v>467</v>
      </c>
      <c r="C58" s="14" t="s">
        <v>593</v>
      </c>
      <c r="D58" s="2" t="s">
        <v>594</v>
      </c>
      <c r="E58" s="14"/>
      <c r="F58" s="14"/>
      <c r="G58" s="11"/>
      <c r="H58" s="11"/>
      <c r="I58" s="11"/>
    </row>
    <row r="59" spans="1:9" x14ac:dyDescent="0.25">
      <c r="A59" s="12" t="s">
        <v>141</v>
      </c>
      <c r="B59" s="11" t="s">
        <v>472</v>
      </c>
      <c r="C59" s="14" t="s">
        <v>595</v>
      </c>
      <c r="D59" s="2" t="s">
        <v>1404</v>
      </c>
      <c r="E59" s="14"/>
      <c r="F59" s="14"/>
      <c r="G59" s="11"/>
      <c r="H59" s="11"/>
      <c r="I59" s="11"/>
    </row>
    <row r="60" spans="1:9" x14ac:dyDescent="0.25">
      <c r="A60" s="12" t="s">
        <v>360</v>
      </c>
      <c r="B60" s="11" t="s">
        <v>596</v>
      </c>
      <c r="C60" s="14" t="s">
        <v>597</v>
      </c>
      <c r="D60" s="2" t="s">
        <v>598</v>
      </c>
      <c r="E60" s="14"/>
      <c r="F60" s="14"/>
      <c r="G60" s="11"/>
      <c r="H60" s="11"/>
      <c r="I60" s="11"/>
    </row>
    <row r="61" spans="1:9" x14ac:dyDescent="0.25">
      <c r="A61" s="12" t="s">
        <v>360</v>
      </c>
      <c r="B61" s="11" t="s">
        <v>599</v>
      </c>
      <c r="C61" s="14" t="s">
        <v>600</v>
      </c>
      <c r="D61" s="2" t="s">
        <v>601</v>
      </c>
      <c r="E61" s="14"/>
      <c r="F61" s="14"/>
      <c r="G61" s="11"/>
      <c r="H61" s="11"/>
      <c r="I61" s="11"/>
    </row>
    <row r="62" spans="1:9" x14ac:dyDescent="0.25">
      <c r="A62" s="12" t="s">
        <v>360</v>
      </c>
      <c r="B62" s="11" t="s">
        <v>602</v>
      </c>
      <c r="C62" s="14" t="s">
        <v>603</v>
      </c>
      <c r="D62" s="2" t="s">
        <v>1405</v>
      </c>
      <c r="E62" s="14"/>
      <c r="F62" s="14"/>
      <c r="G62" s="11"/>
      <c r="H62" s="11"/>
      <c r="I62" s="11"/>
    </row>
    <row r="63" spans="1:9" x14ac:dyDescent="0.25">
      <c r="A63" s="12" t="s">
        <v>360</v>
      </c>
      <c r="B63" s="11" t="s">
        <v>604</v>
      </c>
      <c r="C63" s="14" t="s">
        <v>605</v>
      </c>
      <c r="D63" s="2" t="s">
        <v>1406</v>
      </c>
      <c r="E63" s="14"/>
      <c r="F63" s="14"/>
      <c r="G63" s="11"/>
      <c r="H63" s="11"/>
      <c r="I63" s="11"/>
    </row>
    <row r="64" spans="1:9" ht="15" customHeight="1" x14ac:dyDescent="0.25">
      <c r="A64" s="11" t="s">
        <v>384</v>
      </c>
      <c r="B64" s="11" t="s">
        <v>1308</v>
      </c>
      <c r="C64" s="14" t="s">
        <v>1300</v>
      </c>
      <c r="D64" s="2" t="s">
        <v>1407</v>
      </c>
      <c r="E64" s="14"/>
      <c r="F64" s="14"/>
      <c r="G64" s="11"/>
      <c r="H64" s="11"/>
      <c r="I64" s="11"/>
    </row>
    <row r="65" spans="1:9" ht="15" customHeight="1" x14ac:dyDescent="0.25">
      <c r="A65" s="11" t="s">
        <v>384</v>
      </c>
      <c r="B65" s="11" t="s">
        <v>1309</v>
      </c>
      <c r="C65" s="14" t="s">
        <v>1301</v>
      </c>
      <c r="D65" s="2" t="s">
        <v>1408</v>
      </c>
      <c r="E65" s="14"/>
      <c r="F65" s="14"/>
      <c r="G65" s="11"/>
      <c r="H65" s="11"/>
      <c r="I65" s="11"/>
    </row>
    <row r="66" spans="1:9" ht="15" customHeight="1" x14ac:dyDescent="0.25">
      <c r="A66" s="11" t="s">
        <v>384</v>
      </c>
      <c r="B66" s="11" t="s">
        <v>1310</v>
      </c>
      <c r="C66" s="14" t="s">
        <v>1302</v>
      </c>
      <c r="D66" s="2" t="s">
        <v>1409</v>
      </c>
      <c r="E66" s="14"/>
      <c r="F66" s="14"/>
      <c r="G66" s="11"/>
      <c r="H66" s="11"/>
      <c r="I66" s="11"/>
    </row>
    <row r="67" spans="1:9" ht="15" customHeight="1" x14ac:dyDescent="0.25">
      <c r="A67" s="11" t="s">
        <v>384</v>
      </c>
      <c r="B67" s="11" t="s">
        <v>1311</v>
      </c>
      <c r="C67" s="14" t="s">
        <v>1303</v>
      </c>
      <c r="D67" s="2" t="s">
        <v>1410</v>
      </c>
      <c r="E67" s="14"/>
      <c r="F67" s="14"/>
      <c r="G67" s="11"/>
      <c r="H67" s="11"/>
      <c r="I67" s="11"/>
    </row>
    <row r="68" spans="1:9" ht="15" customHeight="1" x14ac:dyDescent="0.25">
      <c r="A68" s="11" t="s">
        <v>384</v>
      </c>
      <c r="B68" s="11" t="s">
        <v>1312</v>
      </c>
      <c r="C68" s="14" t="s">
        <v>1304</v>
      </c>
      <c r="D68" s="2" t="s">
        <v>1411</v>
      </c>
      <c r="E68" s="14"/>
      <c r="F68" s="14"/>
      <c r="G68" s="11"/>
      <c r="H68" s="11"/>
      <c r="I68" s="11"/>
    </row>
    <row r="69" spans="1:9" x14ac:dyDescent="0.25">
      <c r="A69" s="11" t="s">
        <v>384</v>
      </c>
      <c r="B69" s="11" t="s">
        <v>1313</v>
      </c>
      <c r="C69" s="14" t="s">
        <v>1305</v>
      </c>
      <c r="D69" s="2" t="s">
        <v>1412</v>
      </c>
      <c r="E69" s="14"/>
      <c r="F69" s="14"/>
      <c r="G69" s="11"/>
      <c r="H69" s="11"/>
      <c r="I69" s="11"/>
    </row>
    <row r="70" spans="1:9" x14ac:dyDescent="0.25">
      <c r="A70" s="11" t="s">
        <v>384</v>
      </c>
      <c r="B70" s="11" t="s">
        <v>606</v>
      </c>
      <c r="C70" s="14" t="s">
        <v>1306</v>
      </c>
      <c r="D70" s="2" t="s">
        <v>1413</v>
      </c>
      <c r="E70" s="14"/>
      <c r="F70" s="14"/>
      <c r="G70" s="11"/>
      <c r="H70" s="11"/>
      <c r="I70" s="11"/>
    </row>
    <row r="71" spans="1:9" x14ac:dyDescent="0.25">
      <c r="A71" s="11" t="s">
        <v>384</v>
      </c>
      <c r="B71" s="11" t="s">
        <v>607</v>
      </c>
      <c r="C71" s="14" t="s">
        <v>1307</v>
      </c>
      <c r="D71" s="2" t="s">
        <v>1414</v>
      </c>
      <c r="E71" s="14"/>
      <c r="F71" s="14"/>
      <c r="G71" s="11"/>
      <c r="H71" s="11"/>
      <c r="I71" s="11"/>
    </row>
    <row r="72" spans="1:9" x14ac:dyDescent="0.25">
      <c r="A72" s="11" t="s">
        <v>384</v>
      </c>
      <c r="B72" s="11" t="s">
        <v>1314</v>
      </c>
      <c r="C72" s="14" t="s">
        <v>608</v>
      </c>
      <c r="D72" s="2" t="s">
        <v>1415</v>
      </c>
      <c r="E72" s="14"/>
      <c r="F72" s="14"/>
      <c r="G72" s="11"/>
      <c r="H72" s="11"/>
      <c r="I72" s="11"/>
    </row>
    <row r="73" spans="1:9" x14ac:dyDescent="0.25">
      <c r="A73" s="11" t="s">
        <v>384</v>
      </c>
      <c r="B73" s="11" t="s">
        <v>527</v>
      </c>
      <c r="C73" s="14" t="s">
        <v>528</v>
      </c>
      <c r="D73" s="2" t="s">
        <v>1388</v>
      </c>
      <c r="E73" s="14"/>
      <c r="F73" s="14"/>
      <c r="G73" s="11"/>
      <c r="H73" s="11"/>
      <c r="I73" s="11"/>
    </row>
    <row r="74" spans="1:9" x14ac:dyDescent="0.25">
      <c r="A74" s="11" t="s">
        <v>384</v>
      </c>
      <c r="B74" s="11" t="s">
        <v>609</v>
      </c>
      <c r="C74" s="14" t="s">
        <v>530</v>
      </c>
      <c r="D74" s="2" t="s">
        <v>580</v>
      </c>
      <c r="E74" s="14"/>
      <c r="F74" s="14"/>
      <c r="G74" s="11"/>
      <c r="H74" s="11"/>
      <c r="I74" s="11"/>
    </row>
    <row r="75" spans="1:9" ht="15" customHeight="1" x14ac:dyDescent="0.25">
      <c r="A75" s="12" t="s">
        <v>381</v>
      </c>
      <c r="B75" s="11" t="s">
        <v>610</v>
      </c>
      <c r="C75" s="14" t="s">
        <v>611</v>
      </c>
      <c r="D75" s="2" t="s">
        <v>612</v>
      </c>
      <c r="E75" s="14"/>
      <c r="F75" s="14"/>
      <c r="G75" s="11"/>
      <c r="H75" s="11"/>
      <c r="I75" s="11"/>
    </row>
    <row r="76" spans="1:9" x14ac:dyDescent="0.25">
      <c r="A76" s="12" t="s">
        <v>381</v>
      </c>
      <c r="B76" s="11" t="s">
        <v>613</v>
      </c>
      <c r="C76" s="14" t="s">
        <v>614</v>
      </c>
      <c r="D76" s="2" t="s">
        <v>615</v>
      </c>
      <c r="E76" s="14"/>
      <c r="F76" s="14"/>
      <c r="G76" s="11"/>
      <c r="H76" s="11"/>
      <c r="I76" s="11"/>
    </row>
    <row r="77" spans="1:9" x14ac:dyDescent="0.25">
      <c r="A77" s="12" t="s">
        <v>381</v>
      </c>
      <c r="B77" s="11" t="s">
        <v>115</v>
      </c>
      <c r="C77" s="14" t="s">
        <v>525</v>
      </c>
      <c r="D77" s="2" t="s">
        <v>526</v>
      </c>
      <c r="E77" s="14"/>
      <c r="F77" s="14"/>
      <c r="G77" s="11"/>
      <c r="H77" s="11"/>
      <c r="I77" s="11"/>
    </row>
    <row r="78" spans="1:9" ht="15" customHeight="1" x14ac:dyDescent="0.25">
      <c r="A78" s="12" t="s">
        <v>381</v>
      </c>
      <c r="B78" s="11" t="s">
        <v>446</v>
      </c>
      <c r="C78" s="14" t="s">
        <v>530</v>
      </c>
      <c r="D78" s="2" t="s">
        <v>580</v>
      </c>
      <c r="E78" s="14"/>
      <c r="F78" s="14"/>
      <c r="G78" s="11"/>
      <c r="H78" s="11"/>
      <c r="I78" s="11"/>
    </row>
    <row r="79" spans="1:9" x14ac:dyDescent="0.25">
      <c r="A79" s="12" t="s">
        <v>208</v>
      </c>
      <c r="B79" s="11" t="s">
        <v>616</v>
      </c>
      <c r="C79" s="14" t="s">
        <v>617</v>
      </c>
      <c r="D79" s="2" t="s">
        <v>618</v>
      </c>
      <c r="E79" s="14"/>
      <c r="F79" s="14"/>
      <c r="G79" s="11"/>
      <c r="H79" s="11" t="s">
        <v>456</v>
      </c>
      <c r="I79" s="11"/>
    </row>
    <row r="80" spans="1:9" x14ac:dyDescent="0.25">
      <c r="A80" s="12" t="s">
        <v>208</v>
      </c>
      <c r="B80" s="11" t="s">
        <v>619</v>
      </c>
      <c r="C80" s="14" t="s">
        <v>620</v>
      </c>
      <c r="D80" s="2" t="s">
        <v>621</v>
      </c>
      <c r="E80" s="14"/>
      <c r="F80" s="14"/>
      <c r="G80" s="11"/>
      <c r="H80" s="11" t="s">
        <v>137</v>
      </c>
      <c r="I80" s="11"/>
    </row>
    <row r="81" spans="1:9" x14ac:dyDescent="0.25">
      <c r="A81" s="12" t="s">
        <v>208</v>
      </c>
      <c r="B81" s="11" t="s">
        <v>622</v>
      </c>
      <c r="C81" s="14" t="s">
        <v>623</v>
      </c>
      <c r="D81" s="2" t="s">
        <v>624</v>
      </c>
      <c r="E81" s="14"/>
      <c r="F81" s="14"/>
      <c r="G81" s="11"/>
      <c r="H81" s="11"/>
      <c r="I81" s="11"/>
    </row>
    <row r="82" spans="1:9" x14ac:dyDescent="0.25">
      <c r="A82" s="12" t="s">
        <v>208</v>
      </c>
      <c r="B82" s="11" t="s">
        <v>625</v>
      </c>
      <c r="C82" s="14" t="s">
        <v>626</v>
      </c>
      <c r="D82" s="2" t="s">
        <v>1416</v>
      </c>
      <c r="E82" s="14"/>
      <c r="F82" s="14"/>
      <c r="G82" s="11"/>
      <c r="H82" s="11"/>
      <c r="I82" s="11"/>
    </row>
    <row r="83" spans="1:9" ht="15" customHeight="1" x14ac:dyDescent="0.25">
      <c r="A83" s="12" t="s">
        <v>208</v>
      </c>
      <c r="B83" s="11" t="s">
        <v>627</v>
      </c>
      <c r="C83" s="14" t="s">
        <v>628</v>
      </c>
      <c r="D83" s="2" t="s">
        <v>1417</v>
      </c>
      <c r="E83" s="14"/>
      <c r="F83" s="14"/>
      <c r="G83" s="11"/>
      <c r="H83" s="11"/>
      <c r="I83" s="11"/>
    </row>
    <row r="84" spans="1:9" x14ac:dyDescent="0.25">
      <c r="A84" s="12" t="s">
        <v>208</v>
      </c>
      <c r="B84" s="11" t="s">
        <v>629</v>
      </c>
      <c r="C84" s="14" t="s">
        <v>630</v>
      </c>
      <c r="D84" s="2" t="s">
        <v>1418</v>
      </c>
      <c r="E84" s="14"/>
      <c r="F84" s="14"/>
      <c r="G84" s="11"/>
      <c r="H84" s="11" t="s">
        <v>137</v>
      </c>
      <c r="I84" s="11"/>
    </row>
    <row r="85" spans="1:9" x14ac:dyDescent="0.25">
      <c r="A85" s="12" t="s">
        <v>208</v>
      </c>
      <c r="B85" s="11" t="s">
        <v>631</v>
      </c>
      <c r="C85" s="14" t="s">
        <v>632</v>
      </c>
      <c r="D85" s="2" t="s">
        <v>1419</v>
      </c>
      <c r="E85" s="14"/>
      <c r="F85" s="14"/>
      <c r="G85" s="11"/>
      <c r="H85" s="11"/>
      <c r="I85" s="11"/>
    </row>
    <row r="86" spans="1:9" ht="30" x14ac:dyDescent="0.25">
      <c r="A86" s="12" t="s">
        <v>208</v>
      </c>
      <c r="B86" s="11" t="s">
        <v>633</v>
      </c>
      <c r="C86" s="14" t="s">
        <v>634</v>
      </c>
      <c r="D86" s="2" t="s">
        <v>635</v>
      </c>
      <c r="E86" s="14"/>
      <c r="F86" s="14"/>
      <c r="G86" s="11"/>
      <c r="H86" s="11" t="s">
        <v>140</v>
      </c>
      <c r="I86" s="11"/>
    </row>
    <row r="87" spans="1:9" x14ac:dyDescent="0.25">
      <c r="A87" s="12" t="s">
        <v>208</v>
      </c>
      <c r="B87" s="11" t="s">
        <v>115</v>
      </c>
      <c r="C87" s="14" t="s">
        <v>525</v>
      </c>
      <c r="D87" s="2" t="s">
        <v>526</v>
      </c>
      <c r="E87" s="14"/>
      <c r="F87" s="14"/>
      <c r="G87" s="11"/>
      <c r="H87" s="11"/>
      <c r="I87" s="11"/>
    </row>
    <row r="88" spans="1:9" x14ac:dyDescent="0.25">
      <c r="A88" s="12" t="s">
        <v>636</v>
      </c>
      <c r="B88" s="11" t="s">
        <v>27</v>
      </c>
      <c r="C88" s="14" t="s">
        <v>485</v>
      </c>
      <c r="D88" s="2" t="s">
        <v>486</v>
      </c>
      <c r="E88" s="14"/>
      <c r="F88" s="14"/>
      <c r="G88" s="11"/>
      <c r="H88" s="11"/>
      <c r="I88" s="11"/>
    </row>
    <row r="89" spans="1:9" x14ac:dyDescent="0.25">
      <c r="A89" s="12" t="s">
        <v>636</v>
      </c>
      <c r="B89" s="11" t="s">
        <v>637</v>
      </c>
      <c r="C89" s="14" t="s">
        <v>638</v>
      </c>
      <c r="D89" s="2" t="s">
        <v>1420</v>
      </c>
      <c r="E89" s="14"/>
      <c r="F89" s="14"/>
      <c r="G89" s="11"/>
      <c r="H89" s="11" t="s">
        <v>471</v>
      </c>
      <c r="I89" s="11"/>
    </row>
    <row r="90" spans="1:9" ht="15" customHeight="1" x14ac:dyDescent="0.25">
      <c r="A90" s="12" t="s">
        <v>636</v>
      </c>
      <c r="B90" s="11" t="s">
        <v>115</v>
      </c>
      <c r="C90" s="14" t="s">
        <v>640</v>
      </c>
      <c r="D90" s="2" t="s">
        <v>641</v>
      </c>
      <c r="E90" s="14"/>
      <c r="F90" s="14"/>
      <c r="G90" s="11"/>
      <c r="H90" s="11"/>
      <c r="I90" s="11"/>
    </row>
    <row r="91" spans="1:9" ht="33" customHeight="1" x14ac:dyDescent="0.25">
      <c r="A91" s="12" t="s">
        <v>636</v>
      </c>
      <c r="B91" s="11" t="s">
        <v>642</v>
      </c>
      <c r="C91" s="14" t="s">
        <v>643</v>
      </c>
      <c r="D91" s="1" t="s">
        <v>1421</v>
      </c>
      <c r="E91" s="14" t="s">
        <v>645</v>
      </c>
      <c r="F91" s="14" t="s">
        <v>646</v>
      </c>
      <c r="G91" s="11"/>
      <c r="H91" s="11" t="s">
        <v>647</v>
      </c>
      <c r="I91" s="11"/>
    </row>
    <row r="92" spans="1:9" ht="17.25" customHeight="1" x14ac:dyDescent="0.25">
      <c r="A92" s="12" t="s">
        <v>648</v>
      </c>
      <c r="B92" s="11" t="s">
        <v>649</v>
      </c>
      <c r="C92" s="14" t="s">
        <v>650</v>
      </c>
      <c r="D92" s="2" t="s">
        <v>651</v>
      </c>
      <c r="E92" s="14" t="s">
        <v>652</v>
      </c>
      <c r="F92" s="14" t="s">
        <v>653</v>
      </c>
      <c r="G92" s="11"/>
      <c r="H92" s="11"/>
      <c r="I92" s="11"/>
    </row>
    <row r="93" spans="1:9" ht="18" customHeight="1" x14ac:dyDescent="0.25">
      <c r="A93" s="12" t="s">
        <v>648</v>
      </c>
      <c r="B93" s="11" t="s">
        <v>654</v>
      </c>
      <c r="C93" s="14" t="s">
        <v>655</v>
      </c>
      <c r="D93" s="2" t="s">
        <v>656</v>
      </c>
      <c r="E93" s="14" t="s">
        <v>657</v>
      </c>
      <c r="F93" s="14" t="s">
        <v>658</v>
      </c>
      <c r="G93" s="11"/>
      <c r="H93" s="11"/>
      <c r="I93" s="11"/>
    </row>
    <row r="94" spans="1:9" ht="15" customHeight="1" x14ac:dyDescent="0.25">
      <c r="A94" s="12" t="s">
        <v>648</v>
      </c>
      <c r="B94" s="11" t="s">
        <v>520</v>
      </c>
      <c r="C94" s="14" t="s">
        <v>521</v>
      </c>
      <c r="D94" s="2" t="s">
        <v>522</v>
      </c>
      <c r="E94" s="14"/>
      <c r="F94" s="14"/>
      <c r="G94" s="11"/>
      <c r="H94" s="11"/>
      <c r="I94" s="11"/>
    </row>
    <row r="95" spans="1:9" x14ac:dyDescent="0.25">
      <c r="A95" s="12" t="s">
        <v>341</v>
      </c>
      <c r="B95" s="11" t="s">
        <v>659</v>
      </c>
      <c r="C95" s="14" t="s">
        <v>660</v>
      </c>
      <c r="D95" s="2" t="s">
        <v>661</v>
      </c>
      <c r="E95" s="14"/>
      <c r="F95" s="14"/>
      <c r="G95" s="11"/>
      <c r="H95" s="11"/>
      <c r="I95" s="11"/>
    </row>
    <row r="96" spans="1:9" x14ac:dyDescent="0.25">
      <c r="A96" s="12" t="s">
        <v>341</v>
      </c>
      <c r="B96" s="11" t="s">
        <v>662</v>
      </c>
      <c r="C96" s="14" t="s">
        <v>663</v>
      </c>
      <c r="D96" s="2" t="s">
        <v>664</v>
      </c>
      <c r="E96" s="14"/>
      <c r="F96" s="14"/>
      <c r="G96" s="11"/>
      <c r="H96" s="11"/>
      <c r="I96" s="11"/>
    </row>
    <row r="97" spans="1:9" x14ac:dyDescent="0.25">
      <c r="A97" s="12" t="s">
        <v>341</v>
      </c>
      <c r="B97" s="11" t="s">
        <v>665</v>
      </c>
      <c r="C97" s="14" t="s">
        <v>666</v>
      </c>
      <c r="D97" s="2" t="s">
        <v>667</v>
      </c>
      <c r="E97" s="14"/>
      <c r="F97" s="14"/>
      <c r="G97" s="11"/>
      <c r="H97" s="11"/>
      <c r="I97" s="11"/>
    </row>
    <row r="98" spans="1:9" x14ac:dyDescent="0.25">
      <c r="A98" s="12" t="s">
        <v>341</v>
      </c>
      <c r="B98" s="11" t="s">
        <v>668</v>
      </c>
      <c r="C98" s="14" t="s">
        <v>669</v>
      </c>
      <c r="D98" s="2" t="s">
        <v>670</v>
      </c>
      <c r="E98" s="14"/>
      <c r="F98" s="14"/>
      <c r="G98" s="11"/>
      <c r="H98" s="11"/>
      <c r="I98" s="11"/>
    </row>
    <row r="99" spans="1:9" x14ac:dyDescent="0.25">
      <c r="A99" s="12" t="s">
        <v>341</v>
      </c>
      <c r="B99" s="11"/>
      <c r="C99" s="14"/>
      <c r="D99" s="4"/>
      <c r="E99" s="14"/>
      <c r="F99" s="14"/>
      <c r="G99" s="11" t="s">
        <v>524</v>
      </c>
      <c r="H99" s="11"/>
      <c r="I99" s="11"/>
    </row>
    <row r="100" spans="1:9" x14ac:dyDescent="0.25">
      <c r="A100" s="12" t="s">
        <v>341</v>
      </c>
      <c r="B100" s="11"/>
      <c r="C100" s="14"/>
      <c r="D100" s="4"/>
      <c r="E100" s="14"/>
      <c r="F100" s="14"/>
      <c r="G100" s="11" t="s">
        <v>527</v>
      </c>
      <c r="H100" s="11"/>
      <c r="I100" s="11"/>
    </row>
    <row r="101" spans="1:9" x14ac:dyDescent="0.25">
      <c r="A101" s="12" t="s">
        <v>343</v>
      </c>
      <c r="B101" s="11" t="s">
        <v>671</v>
      </c>
      <c r="C101" s="14" t="s">
        <v>672</v>
      </c>
      <c r="D101" s="4" t="s">
        <v>673</v>
      </c>
      <c r="E101" s="14"/>
      <c r="F101" s="14"/>
      <c r="G101" s="11"/>
      <c r="H101" s="11"/>
      <c r="I101" s="11"/>
    </row>
    <row r="102" spans="1:9" x14ac:dyDescent="0.25">
      <c r="A102" s="12" t="s">
        <v>343</v>
      </c>
      <c r="B102" s="11" t="s">
        <v>674</v>
      </c>
      <c r="C102" s="29" t="s">
        <v>1266</v>
      </c>
      <c r="D102" s="4" t="s">
        <v>1422</v>
      </c>
      <c r="E102" s="14"/>
      <c r="F102" s="14"/>
      <c r="G102" s="11"/>
      <c r="H102" s="11"/>
      <c r="I102" s="11"/>
    </row>
    <row r="103" spans="1:9" x14ac:dyDescent="0.25">
      <c r="A103" s="12" t="s">
        <v>343</v>
      </c>
      <c r="B103" s="11" t="s">
        <v>665</v>
      </c>
      <c r="C103" s="14" t="s">
        <v>666</v>
      </c>
      <c r="D103" s="4" t="s">
        <v>667</v>
      </c>
      <c r="E103" s="14"/>
      <c r="F103" s="14"/>
      <c r="G103" s="11"/>
      <c r="H103" s="11"/>
      <c r="I103" s="11"/>
    </row>
    <row r="104" spans="1:9" x14ac:dyDescent="0.25">
      <c r="A104" s="12" t="s">
        <v>343</v>
      </c>
      <c r="B104" s="11" t="s">
        <v>1243</v>
      </c>
      <c r="C104" s="29" t="s">
        <v>1242</v>
      </c>
      <c r="D104" s="4" t="s">
        <v>1423</v>
      </c>
      <c r="E104" s="14"/>
      <c r="F104" s="14"/>
      <c r="G104" s="11"/>
      <c r="H104" s="11"/>
      <c r="I104" s="11" t="s">
        <v>560</v>
      </c>
    </row>
    <row r="105" spans="1:9" x14ac:dyDescent="0.25">
      <c r="A105" s="12" t="s">
        <v>343</v>
      </c>
      <c r="B105" s="11"/>
      <c r="C105" s="14"/>
      <c r="D105" s="4"/>
      <c r="E105" s="14"/>
      <c r="F105" s="14"/>
      <c r="G105" s="11" t="s">
        <v>524</v>
      </c>
      <c r="H105" s="11"/>
      <c r="I105" s="11"/>
    </row>
    <row r="106" spans="1:9" x14ac:dyDescent="0.25">
      <c r="A106" s="12" t="s">
        <v>343</v>
      </c>
      <c r="B106" s="11"/>
      <c r="C106" s="14"/>
      <c r="D106" s="4"/>
      <c r="E106" s="14"/>
      <c r="F106" s="14"/>
      <c r="G106" s="11" t="s">
        <v>527</v>
      </c>
      <c r="H106" s="11"/>
      <c r="I106" s="11"/>
    </row>
    <row r="107" spans="1:9" x14ac:dyDescent="0.25">
      <c r="A107" s="11" t="s">
        <v>122</v>
      </c>
      <c r="B107" s="11" t="s">
        <v>675</v>
      </c>
      <c r="C107" s="14" t="s">
        <v>676</v>
      </c>
      <c r="D107" s="4" t="s">
        <v>677</v>
      </c>
      <c r="E107" s="14"/>
      <c r="F107" s="14"/>
      <c r="G107" s="11"/>
      <c r="H107" s="11"/>
      <c r="I107" s="11"/>
    </row>
    <row r="108" spans="1:9" ht="30" x14ac:dyDescent="0.25">
      <c r="A108" s="11" t="s">
        <v>122</v>
      </c>
      <c r="B108" s="11" t="s">
        <v>678</v>
      </c>
      <c r="C108" s="14" t="s">
        <v>679</v>
      </c>
      <c r="D108" s="4" t="s">
        <v>1424</v>
      </c>
      <c r="E108" s="14"/>
      <c r="F108" s="14"/>
      <c r="G108" s="11"/>
      <c r="H108" s="11"/>
      <c r="I108" s="11"/>
    </row>
    <row r="109" spans="1:9" x14ac:dyDescent="0.25">
      <c r="A109" s="11" t="s">
        <v>122</v>
      </c>
      <c r="B109" s="11" t="s">
        <v>680</v>
      </c>
      <c r="C109" s="14" t="s">
        <v>681</v>
      </c>
      <c r="D109" s="4" t="s">
        <v>682</v>
      </c>
      <c r="E109" s="14"/>
      <c r="F109" s="14"/>
      <c r="G109" s="11"/>
      <c r="H109" s="11"/>
      <c r="I109" s="11"/>
    </row>
    <row r="110" spans="1:9" x14ac:dyDescent="0.25">
      <c r="A110" s="11" t="s">
        <v>122</v>
      </c>
      <c r="B110" s="11" t="s">
        <v>683</v>
      </c>
      <c r="C110" s="14" t="s">
        <v>684</v>
      </c>
      <c r="D110" s="4" t="s">
        <v>1425</v>
      </c>
      <c r="E110" s="14"/>
      <c r="F110" s="14"/>
      <c r="G110" s="11"/>
      <c r="H110" s="11"/>
      <c r="I110" s="11"/>
    </row>
    <row r="111" spans="1:9" ht="30" x14ac:dyDescent="0.25">
      <c r="A111" s="11" t="s">
        <v>122</v>
      </c>
      <c r="B111" s="11" t="s">
        <v>685</v>
      </c>
      <c r="C111" s="14" t="s">
        <v>686</v>
      </c>
      <c r="D111" s="4" t="s">
        <v>687</v>
      </c>
      <c r="E111" s="14"/>
      <c r="F111" s="14"/>
      <c r="G111" s="11"/>
      <c r="H111" s="11"/>
      <c r="I111" s="11"/>
    </row>
    <row r="112" spans="1:9" ht="30" x14ac:dyDescent="0.25">
      <c r="A112" s="11" t="s">
        <v>122</v>
      </c>
      <c r="B112" s="11" t="s">
        <v>688</v>
      </c>
      <c r="C112" s="14" t="s">
        <v>689</v>
      </c>
      <c r="D112" s="4" t="s">
        <v>1426</v>
      </c>
      <c r="E112" s="14"/>
      <c r="F112" s="14"/>
      <c r="G112" s="11"/>
      <c r="H112" s="11"/>
      <c r="I112" s="11"/>
    </row>
    <row r="113" spans="1:9" x14ac:dyDescent="0.25">
      <c r="A113" s="11" t="s">
        <v>122</v>
      </c>
      <c r="B113" s="11"/>
      <c r="C113" s="14"/>
      <c r="D113" s="4"/>
      <c r="E113" s="14"/>
      <c r="F113" s="14"/>
      <c r="G113" s="11" t="s">
        <v>446</v>
      </c>
      <c r="H113" s="11"/>
      <c r="I113" s="11"/>
    </row>
    <row r="114" spans="1:9" ht="75" x14ac:dyDescent="0.25">
      <c r="A114" s="12" t="s">
        <v>690</v>
      </c>
      <c r="B114" s="11" t="s">
        <v>466</v>
      </c>
      <c r="C114" s="14" t="s">
        <v>691</v>
      </c>
      <c r="D114" s="4" t="s">
        <v>1427</v>
      </c>
      <c r="E114" s="14" t="s">
        <v>693</v>
      </c>
      <c r="F114" s="14" t="s">
        <v>694</v>
      </c>
      <c r="G114" s="12"/>
      <c r="H114" s="11"/>
      <c r="I114" s="11"/>
    </row>
    <row r="115" spans="1:9" ht="75" x14ac:dyDescent="0.25">
      <c r="A115" s="12" t="s">
        <v>690</v>
      </c>
      <c r="B115" s="11" t="s">
        <v>467</v>
      </c>
      <c r="C115" s="14" t="s">
        <v>695</v>
      </c>
      <c r="D115" s="4" t="s">
        <v>696</v>
      </c>
      <c r="E115" s="14" t="s">
        <v>697</v>
      </c>
      <c r="F115" s="14" t="s">
        <v>698</v>
      </c>
      <c r="G115" s="11"/>
      <c r="H115" s="11"/>
      <c r="I115" s="11"/>
    </row>
    <row r="116" spans="1:9" ht="135" x14ac:dyDescent="0.25">
      <c r="A116" s="12" t="s">
        <v>690</v>
      </c>
      <c r="B116" s="11" t="s">
        <v>468</v>
      </c>
      <c r="C116" s="79" t="s">
        <v>2186</v>
      </c>
      <c r="D116" s="1" t="s">
        <v>1428</v>
      </c>
      <c r="E116" s="79" t="s">
        <v>2187</v>
      </c>
      <c r="F116" s="14" t="s">
        <v>700</v>
      </c>
      <c r="G116" s="11"/>
      <c r="H116" s="11"/>
      <c r="I116" s="11"/>
    </row>
    <row r="117" spans="1:9" ht="15" customHeight="1" x14ac:dyDescent="0.25">
      <c r="A117" s="12" t="s">
        <v>690</v>
      </c>
      <c r="B117" s="11" t="s">
        <v>588</v>
      </c>
      <c r="C117" s="14" t="s">
        <v>701</v>
      </c>
      <c r="D117" s="2" t="s">
        <v>702</v>
      </c>
      <c r="E117" s="14" t="s">
        <v>703</v>
      </c>
      <c r="F117" s="14" t="s">
        <v>704</v>
      </c>
      <c r="G117" s="11"/>
      <c r="H117" s="11"/>
      <c r="I117" s="11"/>
    </row>
    <row r="118" spans="1:9" ht="75" x14ac:dyDescent="0.25">
      <c r="A118" s="12" t="s">
        <v>690</v>
      </c>
      <c r="B118" s="11" t="s">
        <v>472</v>
      </c>
      <c r="C118" s="29" t="s">
        <v>705</v>
      </c>
      <c r="D118" s="4" t="s">
        <v>1429</v>
      </c>
      <c r="E118" s="14" t="s">
        <v>707</v>
      </c>
      <c r="F118" s="14" t="s">
        <v>708</v>
      </c>
      <c r="G118" s="11"/>
      <c r="H118" s="11"/>
      <c r="I118" s="11"/>
    </row>
    <row r="119" spans="1:9" x14ac:dyDescent="0.25">
      <c r="A119" s="11" t="s">
        <v>1030</v>
      </c>
      <c r="B119" s="11" t="s">
        <v>442</v>
      </c>
      <c r="C119" s="14" t="s">
        <v>1031</v>
      </c>
      <c r="D119" s="2" t="s">
        <v>1430</v>
      </c>
      <c r="E119" s="14"/>
      <c r="F119" s="14"/>
      <c r="G119" s="11"/>
      <c r="H119" s="11"/>
      <c r="I119" s="11"/>
    </row>
    <row r="120" spans="1:9" ht="30" x14ac:dyDescent="0.25">
      <c r="A120" s="11" t="s">
        <v>1030</v>
      </c>
      <c r="B120" s="11" t="s">
        <v>520</v>
      </c>
      <c r="C120" s="14" t="s">
        <v>1032</v>
      </c>
      <c r="D120" s="2" t="s">
        <v>1431</v>
      </c>
      <c r="E120" s="14"/>
      <c r="F120" s="14"/>
      <c r="G120" s="11"/>
      <c r="H120" s="11"/>
      <c r="I120" s="11"/>
    </row>
    <row r="121" spans="1:9" x14ac:dyDescent="0.25">
      <c r="A121" s="11" t="s">
        <v>1048</v>
      </c>
      <c r="B121" s="11">
        <v>0</v>
      </c>
      <c r="C121" s="1">
        <v>0</v>
      </c>
      <c r="D121" s="2">
        <v>0</v>
      </c>
      <c r="E121" s="11"/>
      <c r="F121" s="11"/>
      <c r="G121" s="11"/>
      <c r="H121" s="11"/>
      <c r="I121" s="11"/>
    </row>
    <row r="122" spans="1:9" x14ac:dyDescent="0.25">
      <c r="A122" s="11" t="s">
        <v>1048</v>
      </c>
      <c r="B122" s="11">
        <v>1</v>
      </c>
      <c r="C122" s="1">
        <v>1</v>
      </c>
      <c r="D122" s="2">
        <v>1</v>
      </c>
      <c r="E122" s="11"/>
      <c r="F122" s="11"/>
      <c r="G122" s="11"/>
      <c r="H122" s="11"/>
      <c r="I122" s="11"/>
    </row>
    <row r="123" spans="1:9" x14ac:dyDescent="0.25">
      <c r="A123" s="11" t="s">
        <v>1048</v>
      </c>
      <c r="B123" s="11">
        <v>2</v>
      </c>
      <c r="C123" s="1" t="s">
        <v>1052</v>
      </c>
      <c r="D123" s="2" t="s">
        <v>1052</v>
      </c>
      <c r="E123" s="11"/>
      <c r="F123" s="11"/>
      <c r="G123" s="11"/>
      <c r="H123" s="11"/>
      <c r="I123" s="11"/>
    </row>
    <row r="124" spans="1:9" x14ac:dyDescent="0.25">
      <c r="A124" s="21" t="s">
        <v>1056</v>
      </c>
      <c r="B124" s="11" t="s">
        <v>1060</v>
      </c>
      <c r="C124" s="1" t="s">
        <v>1062</v>
      </c>
      <c r="D124" s="2" t="s">
        <v>1432</v>
      </c>
      <c r="E124" s="11"/>
      <c r="F124" s="11"/>
      <c r="G124" s="11"/>
      <c r="H124" s="11"/>
      <c r="I124" s="11"/>
    </row>
    <row r="125" spans="1:9" x14ac:dyDescent="0.25">
      <c r="A125" s="21" t="s">
        <v>1056</v>
      </c>
      <c r="B125" s="11" t="s">
        <v>1061</v>
      </c>
      <c r="C125" s="1" t="s">
        <v>1063</v>
      </c>
      <c r="D125" s="2" t="s">
        <v>1433</v>
      </c>
      <c r="E125" s="11"/>
      <c r="F125" s="11"/>
      <c r="G125" s="11"/>
      <c r="H125" s="11"/>
      <c r="I125" s="11"/>
    </row>
    <row r="126" spans="1:9" x14ac:dyDescent="0.25">
      <c r="A126" s="21" t="s">
        <v>1082</v>
      </c>
      <c r="B126" s="11" t="s">
        <v>442</v>
      </c>
      <c r="C126" s="1" t="s">
        <v>1084</v>
      </c>
      <c r="D126" s="2" t="s">
        <v>1434</v>
      </c>
      <c r="E126" s="11"/>
      <c r="F126" s="11"/>
      <c r="G126" s="11"/>
      <c r="H126" s="11"/>
      <c r="I126" s="11"/>
    </row>
    <row r="127" spans="1:9" x14ac:dyDescent="0.25">
      <c r="A127" s="21" t="s">
        <v>1082</v>
      </c>
      <c r="B127" s="11" t="s">
        <v>520</v>
      </c>
      <c r="C127" s="1" t="s">
        <v>1085</v>
      </c>
      <c r="D127" s="2" t="s">
        <v>1435</v>
      </c>
      <c r="E127" s="11"/>
      <c r="F127" s="11"/>
      <c r="G127" s="11"/>
      <c r="H127" s="11"/>
      <c r="I127" s="11"/>
    </row>
    <row r="128" spans="1:9" x14ac:dyDescent="0.25">
      <c r="A128" s="21" t="s">
        <v>1082</v>
      </c>
      <c r="B128" s="11"/>
      <c r="C128" s="1"/>
      <c r="D128" s="2"/>
      <c r="E128" s="11"/>
      <c r="F128" s="11"/>
      <c r="G128" s="11" t="s">
        <v>527</v>
      </c>
      <c r="H128" s="11"/>
      <c r="I128" s="11"/>
    </row>
    <row r="129" spans="1:9" x14ac:dyDescent="0.25">
      <c r="A129" s="21" t="s">
        <v>1096</v>
      </c>
      <c r="B129" s="11" t="s">
        <v>1103</v>
      </c>
      <c r="C129" s="1" t="s">
        <v>1106</v>
      </c>
      <c r="D129" s="2" t="s">
        <v>1436</v>
      </c>
      <c r="E129" s="11"/>
      <c r="F129" s="11"/>
      <c r="G129" s="11"/>
      <c r="H129" s="29" t="s">
        <v>1109</v>
      </c>
      <c r="I129" s="11"/>
    </row>
    <row r="130" spans="1:9" ht="30" x14ac:dyDescent="0.25">
      <c r="A130" s="21" t="s">
        <v>1096</v>
      </c>
      <c r="B130" s="11" t="s">
        <v>1103</v>
      </c>
      <c r="C130" s="1" t="s">
        <v>1107</v>
      </c>
      <c r="D130" s="2" t="s">
        <v>1437</v>
      </c>
      <c r="E130" s="11"/>
      <c r="F130" s="11"/>
      <c r="G130" s="11"/>
      <c r="H130" s="29" t="s">
        <v>1108</v>
      </c>
      <c r="I130" s="11"/>
    </row>
    <row r="131" spans="1:9" x14ac:dyDescent="0.25">
      <c r="A131" s="21" t="s">
        <v>1096</v>
      </c>
      <c r="B131" s="11" t="s">
        <v>583</v>
      </c>
      <c r="C131" s="1" t="s">
        <v>1104</v>
      </c>
      <c r="D131" s="2" t="s">
        <v>1438</v>
      </c>
      <c r="E131" s="11"/>
      <c r="F131" s="11"/>
      <c r="G131" s="11"/>
      <c r="H131" s="11"/>
      <c r="I131" s="11"/>
    </row>
    <row r="132" spans="1:9" ht="30" x14ac:dyDescent="0.25">
      <c r="A132" s="21" t="s">
        <v>1096</v>
      </c>
      <c r="B132" s="11" t="s">
        <v>115</v>
      </c>
      <c r="C132" s="1" t="s">
        <v>1105</v>
      </c>
      <c r="D132" s="2" t="s">
        <v>1439</v>
      </c>
      <c r="E132" s="11"/>
      <c r="F132" s="11"/>
      <c r="G132" s="11"/>
      <c r="H132" s="11"/>
      <c r="I132" s="11"/>
    </row>
    <row r="133" spans="1:9" x14ac:dyDescent="0.25">
      <c r="A133" s="21" t="s">
        <v>1096</v>
      </c>
      <c r="B133" s="11"/>
      <c r="C133" s="1"/>
      <c r="D133" s="2"/>
      <c r="E133" s="11"/>
      <c r="F133" s="11"/>
      <c r="G133" s="11" t="s">
        <v>527</v>
      </c>
      <c r="H133" s="11"/>
      <c r="I133" s="11"/>
    </row>
    <row r="134" spans="1:9" x14ac:dyDescent="0.25">
      <c r="A134" s="21" t="s">
        <v>132</v>
      </c>
      <c r="B134" s="11" t="s">
        <v>1116</v>
      </c>
      <c r="C134" s="1" t="s">
        <v>1110</v>
      </c>
      <c r="D134" s="2" t="s">
        <v>1440</v>
      </c>
      <c r="E134" s="11"/>
      <c r="F134" s="11"/>
      <c r="G134" s="11"/>
      <c r="H134" s="11"/>
      <c r="I134" s="11"/>
    </row>
    <row r="135" spans="1:9" x14ac:dyDescent="0.25">
      <c r="A135" s="21" t="s">
        <v>132</v>
      </c>
      <c r="B135" s="11" t="s">
        <v>1117</v>
      </c>
      <c r="C135" s="1" t="s">
        <v>1111</v>
      </c>
      <c r="D135" s="2" t="s">
        <v>1441</v>
      </c>
      <c r="E135" s="11"/>
      <c r="F135" s="11"/>
      <c r="G135" s="11"/>
      <c r="H135" s="11"/>
      <c r="I135" s="11"/>
    </row>
    <row r="136" spans="1:9" x14ac:dyDescent="0.25">
      <c r="A136" s="21" t="s">
        <v>132</v>
      </c>
      <c r="B136" s="11" t="s">
        <v>1118</v>
      </c>
      <c r="C136" s="1" t="s">
        <v>1112</v>
      </c>
      <c r="D136" s="2" t="s">
        <v>1442</v>
      </c>
      <c r="E136" s="11"/>
      <c r="F136" s="11"/>
      <c r="G136" s="11"/>
      <c r="H136" s="11"/>
      <c r="I136" s="11"/>
    </row>
    <row r="137" spans="1:9" x14ac:dyDescent="0.25">
      <c r="A137" s="21" t="s">
        <v>132</v>
      </c>
      <c r="B137" s="11" t="s">
        <v>1119</v>
      </c>
      <c r="C137" s="1" t="s">
        <v>1113</v>
      </c>
      <c r="D137" s="2" t="s">
        <v>1443</v>
      </c>
      <c r="E137" s="11"/>
      <c r="F137" s="11"/>
      <c r="G137" s="11"/>
      <c r="H137" s="11"/>
      <c r="I137" s="11"/>
    </row>
    <row r="138" spans="1:9" x14ac:dyDescent="0.25">
      <c r="A138" s="21" t="s">
        <v>132</v>
      </c>
      <c r="B138" s="11" t="s">
        <v>1120</v>
      </c>
      <c r="C138" s="1" t="s">
        <v>1115</v>
      </c>
      <c r="D138" s="2" t="s">
        <v>1115</v>
      </c>
      <c r="E138" s="11"/>
      <c r="F138" s="11"/>
      <c r="G138" s="11"/>
      <c r="H138" s="11"/>
      <c r="I138" s="11"/>
    </row>
    <row r="139" spans="1:9" x14ac:dyDescent="0.25">
      <c r="A139" s="21" t="s">
        <v>132</v>
      </c>
      <c r="B139" s="11" t="s">
        <v>1121</v>
      </c>
      <c r="C139" s="1" t="s">
        <v>1114</v>
      </c>
      <c r="D139" s="2" t="s">
        <v>1444</v>
      </c>
      <c r="E139" s="11"/>
      <c r="F139" s="11"/>
      <c r="G139" s="11"/>
      <c r="H139" s="11"/>
      <c r="I139" s="11"/>
    </row>
    <row r="140" spans="1:9" x14ac:dyDescent="0.25">
      <c r="A140" s="21" t="s">
        <v>132</v>
      </c>
      <c r="B140" s="11" t="s">
        <v>1122</v>
      </c>
      <c r="C140" s="1" t="s">
        <v>1126</v>
      </c>
      <c r="D140" s="2" t="s">
        <v>1445</v>
      </c>
      <c r="E140" s="11"/>
      <c r="F140" s="11"/>
      <c r="G140" s="11"/>
      <c r="H140" s="11"/>
      <c r="I140" s="11"/>
    </row>
    <row r="141" spans="1:9" ht="30" x14ac:dyDescent="0.25">
      <c r="A141" s="21" t="s">
        <v>132</v>
      </c>
      <c r="B141" s="11" t="s">
        <v>1123</v>
      </c>
      <c r="C141" s="1" t="s">
        <v>1127</v>
      </c>
      <c r="D141" s="2" t="s">
        <v>1446</v>
      </c>
      <c r="E141" s="11"/>
      <c r="F141" s="11"/>
      <c r="G141" s="11"/>
      <c r="H141" s="11"/>
      <c r="I141" s="11"/>
    </row>
    <row r="142" spans="1:9" x14ac:dyDescent="0.25">
      <c r="A142" s="21" t="s">
        <v>132</v>
      </c>
      <c r="B142" s="11"/>
      <c r="C142" s="1"/>
      <c r="D142" s="2"/>
      <c r="E142" s="11"/>
      <c r="F142" s="11"/>
      <c r="G142" s="11" t="s">
        <v>115</v>
      </c>
      <c r="H142" s="11"/>
      <c r="I142" s="11"/>
    </row>
    <row r="143" spans="1:9" x14ac:dyDescent="0.25">
      <c r="A143" s="21" t="s">
        <v>132</v>
      </c>
      <c r="B143" s="11" t="s">
        <v>1124</v>
      </c>
      <c r="C143" s="1" t="s">
        <v>1128</v>
      </c>
      <c r="D143" s="2" t="s">
        <v>1447</v>
      </c>
      <c r="E143" s="11"/>
      <c r="F143" s="11"/>
      <c r="G143" s="11"/>
      <c r="H143" s="11"/>
      <c r="I143" s="11"/>
    </row>
    <row r="144" spans="1:9" x14ac:dyDescent="0.25">
      <c r="A144" s="21" t="s">
        <v>132</v>
      </c>
      <c r="B144" s="11"/>
      <c r="C144" s="1"/>
      <c r="D144" s="2"/>
      <c r="E144" s="11"/>
      <c r="F144" s="11"/>
      <c r="G144" s="11" t="s">
        <v>527</v>
      </c>
      <c r="H144" s="11"/>
      <c r="I144" s="11"/>
    </row>
    <row r="145" spans="1:9" x14ac:dyDescent="0.25">
      <c r="A145" s="21" t="s">
        <v>1134</v>
      </c>
      <c r="B145" s="11" t="s">
        <v>1586</v>
      </c>
      <c r="C145" s="4" t="s">
        <v>1135</v>
      </c>
      <c r="D145" s="2" t="s">
        <v>1448</v>
      </c>
      <c r="E145" s="11"/>
      <c r="F145" s="11"/>
      <c r="G145" s="11"/>
      <c r="H145" s="11"/>
      <c r="I145" s="11"/>
    </row>
    <row r="146" spans="1:9" x14ac:dyDescent="0.25">
      <c r="A146" s="21" t="s">
        <v>1134</v>
      </c>
      <c r="B146" s="11" t="s">
        <v>1587</v>
      </c>
      <c r="C146" s="4" t="s">
        <v>1136</v>
      </c>
      <c r="D146" s="2" t="s">
        <v>1449</v>
      </c>
      <c r="E146" s="11"/>
      <c r="F146" s="11"/>
      <c r="G146" s="11"/>
      <c r="H146" s="11"/>
      <c r="I146" s="11"/>
    </row>
    <row r="147" spans="1:9" ht="30" x14ac:dyDescent="0.25">
      <c r="A147" s="21" t="s">
        <v>1134</v>
      </c>
      <c r="B147" s="11" t="s">
        <v>1588</v>
      </c>
      <c r="C147" s="4" t="s">
        <v>1137</v>
      </c>
      <c r="D147" s="2" t="s">
        <v>1450</v>
      </c>
      <c r="E147" s="11"/>
      <c r="F147" s="11"/>
      <c r="G147" s="11"/>
      <c r="H147" s="11"/>
      <c r="I147" s="11"/>
    </row>
    <row r="148" spans="1:9" ht="30" x14ac:dyDescent="0.25">
      <c r="A148" s="21" t="s">
        <v>1134</v>
      </c>
      <c r="B148" s="11" t="s">
        <v>1594</v>
      </c>
      <c r="C148" s="4" t="s">
        <v>1138</v>
      </c>
      <c r="D148" s="2" t="s">
        <v>1451</v>
      </c>
      <c r="E148" s="11"/>
      <c r="F148" s="11"/>
      <c r="G148" s="11"/>
      <c r="H148" s="11"/>
      <c r="I148" s="11"/>
    </row>
    <row r="149" spans="1:9" x14ac:dyDescent="0.25">
      <c r="A149" s="21" t="s">
        <v>1134</v>
      </c>
      <c r="B149" s="11" t="s">
        <v>1589</v>
      </c>
      <c r="C149" s="4" t="s">
        <v>1139</v>
      </c>
      <c r="D149" s="2" t="s">
        <v>1452</v>
      </c>
      <c r="E149" s="11"/>
      <c r="F149" s="11"/>
      <c r="G149" s="11"/>
      <c r="H149" s="11"/>
      <c r="I149" s="11"/>
    </row>
    <row r="150" spans="1:9" ht="30" x14ac:dyDescent="0.25">
      <c r="A150" s="21" t="s">
        <v>1134</v>
      </c>
      <c r="B150" s="11" t="s">
        <v>1590</v>
      </c>
      <c r="C150" s="4" t="s">
        <v>1140</v>
      </c>
      <c r="D150" s="2" t="s">
        <v>1453</v>
      </c>
      <c r="E150" s="11"/>
      <c r="F150" s="11"/>
      <c r="G150" s="11"/>
      <c r="H150" s="11"/>
      <c r="I150" s="11"/>
    </row>
    <row r="151" spans="1:9" ht="30" x14ac:dyDescent="0.25">
      <c r="A151" s="21" t="s">
        <v>1134</v>
      </c>
      <c r="B151" s="11" t="s">
        <v>1595</v>
      </c>
      <c r="C151" s="4" t="s">
        <v>1141</v>
      </c>
      <c r="D151" s="2" t="s">
        <v>1454</v>
      </c>
      <c r="E151" s="11"/>
      <c r="F151" s="11"/>
      <c r="G151" s="11"/>
      <c r="H151" s="11"/>
      <c r="I151" s="11"/>
    </row>
    <row r="152" spans="1:9" x14ac:dyDescent="0.25">
      <c r="A152" s="21" t="s">
        <v>1134</v>
      </c>
      <c r="B152" s="11" t="s">
        <v>1591</v>
      </c>
      <c r="C152" s="4" t="s">
        <v>1142</v>
      </c>
      <c r="D152" s="2" t="s">
        <v>1455</v>
      </c>
      <c r="E152" s="11"/>
      <c r="F152" s="11"/>
      <c r="G152" s="11"/>
      <c r="H152" s="11"/>
      <c r="I152" s="11"/>
    </row>
    <row r="153" spans="1:9" x14ac:dyDescent="0.25">
      <c r="A153" s="21" t="s">
        <v>1134</v>
      </c>
      <c r="B153" s="11" t="s">
        <v>1596</v>
      </c>
      <c r="C153" s="4" t="s">
        <v>1143</v>
      </c>
      <c r="D153" s="2" t="s">
        <v>1456</v>
      </c>
      <c r="E153" s="11"/>
      <c r="F153" s="11"/>
      <c r="G153" s="11"/>
      <c r="H153" s="11"/>
      <c r="I153" s="11"/>
    </row>
    <row r="154" spans="1:9" x14ac:dyDescent="0.25">
      <c r="A154" s="21" t="s">
        <v>1134</v>
      </c>
      <c r="B154" s="11"/>
      <c r="C154" s="4"/>
      <c r="D154" s="2"/>
      <c r="E154" s="11"/>
      <c r="F154" s="11"/>
      <c r="G154" s="11" t="s">
        <v>115</v>
      </c>
      <c r="H154" s="11"/>
      <c r="I154" s="11"/>
    </row>
    <row r="155" spans="1:9" x14ac:dyDescent="0.25">
      <c r="A155" s="21" t="s">
        <v>1134</v>
      </c>
      <c r="B155" s="11"/>
      <c r="C155" s="4"/>
      <c r="E155" s="11"/>
      <c r="F155" s="11"/>
      <c r="G155" s="11" t="s">
        <v>446</v>
      </c>
      <c r="H155" s="11"/>
      <c r="I155" s="11"/>
    </row>
    <row r="156" spans="1:9" x14ac:dyDescent="0.25">
      <c r="A156" s="11" t="s">
        <v>1144</v>
      </c>
      <c r="B156" s="11" t="s">
        <v>1597</v>
      </c>
      <c r="C156" s="4" t="s">
        <v>1147</v>
      </c>
      <c r="D156" s="2" t="s">
        <v>1457</v>
      </c>
      <c r="E156" s="11"/>
      <c r="F156" s="11"/>
      <c r="G156" s="11"/>
      <c r="H156" s="11"/>
      <c r="I156" s="11"/>
    </row>
    <row r="157" spans="1:9" x14ac:dyDescent="0.25">
      <c r="A157" s="11" t="s">
        <v>1144</v>
      </c>
      <c r="B157" s="11" t="s">
        <v>1592</v>
      </c>
      <c r="C157" s="4" t="s">
        <v>1148</v>
      </c>
      <c r="D157" s="2" t="s">
        <v>1458</v>
      </c>
      <c r="E157" s="11"/>
      <c r="F157" s="11"/>
      <c r="G157" s="11"/>
      <c r="H157" s="11"/>
      <c r="I157" s="11"/>
    </row>
    <row r="158" spans="1:9" x14ac:dyDescent="0.25">
      <c r="A158" s="11" t="s">
        <v>1144</v>
      </c>
      <c r="B158" s="11" t="s">
        <v>1598</v>
      </c>
      <c r="C158" s="4" t="s">
        <v>1149</v>
      </c>
      <c r="D158" s="2" t="s">
        <v>1459</v>
      </c>
      <c r="E158" s="11"/>
      <c r="F158" s="11"/>
      <c r="G158" s="11"/>
      <c r="H158" s="11"/>
      <c r="I158" s="11"/>
    </row>
    <row r="159" spans="1:9" ht="30" x14ac:dyDescent="0.25">
      <c r="A159" s="11" t="s">
        <v>1144</v>
      </c>
      <c r="B159" s="11" t="s">
        <v>1599</v>
      </c>
      <c r="C159" s="4" t="s">
        <v>1150</v>
      </c>
      <c r="D159" s="2" t="s">
        <v>1460</v>
      </c>
      <c r="E159" s="11"/>
      <c r="F159" s="11"/>
      <c r="G159" s="11"/>
      <c r="H159" s="11"/>
      <c r="I159" s="11"/>
    </row>
    <row r="160" spans="1:9" x14ac:dyDescent="0.25">
      <c r="A160" s="11" t="s">
        <v>1144</v>
      </c>
      <c r="B160" s="11" t="s">
        <v>1600</v>
      </c>
      <c r="C160" s="4" t="s">
        <v>1151</v>
      </c>
      <c r="D160" s="2" t="s">
        <v>1461</v>
      </c>
      <c r="E160" s="11"/>
      <c r="F160" s="11"/>
      <c r="G160" s="11"/>
      <c r="H160" s="11"/>
      <c r="I160" s="11"/>
    </row>
    <row r="161" spans="1:9" x14ac:dyDescent="0.25">
      <c r="A161" s="11" t="s">
        <v>1144</v>
      </c>
      <c r="B161" s="11" t="s">
        <v>1593</v>
      </c>
      <c r="C161" s="4" t="s">
        <v>1152</v>
      </c>
      <c r="D161" s="2" t="s">
        <v>1462</v>
      </c>
      <c r="E161" s="11"/>
      <c r="F161" s="11"/>
      <c r="G161" s="11"/>
      <c r="H161" s="11"/>
      <c r="I161" s="11"/>
    </row>
    <row r="162" spans="1:9" x14ac:dyDescent="0.25">
      <c r="A162" s="11" t="s">
        <v>1144</v>
      </c>
      <c r="B162" s="11" t="s">
        <v>1601</v>
      </c>
      <c r="C162" s="4" t="s">
        <v>1153</v>
      </c>
      <c r="D162" s="2" t="s">
        <v>1463</v>
      </c>
      <c r="E162" s="11"/>
      <c r="F162" s="11"/>
      <c r="G162" s="11"/>
      <c r="H162" s="11"/>
      <c r="I162" s="11"/>
    </row>
    <row r="163" spans="1:9" x14ac:dyDescent="0.25">
      <c r="A163" s="11" t="s">
        <v>1144</v>
      </c>
      <c r="B163" s="11" t="s">
        <v>1602</v>
      </c>
      <c r="C163" s="4" t="s">
        <v>1154</v>
      </c>
      <c r="D163" s="2" t="s">
        <v>1464</v>
      </c>
      <c r="E163" s="11"/>
      <c r="F163" s="11"/>
      <c r="H163" s="11"/>
      <c r="I163" s="11"/>
    </row>
    <row r="164" spans="1:9" x14ac:dyDescent="0.25">
      <c r="A164" s="11" t="s">
        <v>1144</v>
      </c>
      <c r="B164" s="11"/>
      <c r="E164" s="11"/>
      <c r="F164" s="11"/>
      <c r="G164" s="11" t="s">
        <v>115</v>
      </c>
      <c r="H164" s="11"/>
      <c r="I164" s="11"/>
    </row>
    <row r="165" spans="1:9" x14ac:dyDescent="0.25">
      <c r="A165" s="11" t="s">
        <v>1144</v>
      </c>
      <c r="B165" s="11"/>
      <c r="C165" s="4"/>
      <c r="D165" s="2"/>
      <c r="E165" s="11"/>
      <c r="F165" s="11"/>
      <c r="G165" s="11" t="s">
        <v>446</v>
      </c>
      <c r="H165" s="11"/>
      <c r="I165" s="11"/>
    </row>
    <row r="166" spans="1:9" x14ac:dyDescent="0.25">
      <c r="A166" s="21" t="s">
        <v>1167</v>
      </c>
      <c r="B166" s="11" t="s">
        <v>1603</v>
      </c>
      <c r="C166" s="4" t="s">
        <v>1170</v>
      </c>
      <c r="D166" s="2" t="s">
        <v>1465</v>
      </c>
      <c r="E166" s="11"/>
      <c r="F166" s="11"/>
      <c r="G166" s="11"/>
      <c r="H166" s="35"/>
      <c r="I166" s="11"/>
    </row>
    <row r="167" spans="1:9" x14ac:dyDescent="0.25">
      <c r="A167" s="21" t="s">
        <v>1167</v>
      </c>
      <c r="B167" s="11" t="s">
        <v>1606</v>
      </c>
      <c r="C167" s="4" t="s">
        <v>1171</v>
      </c>
      <c r="D167" s="2" t="s">
        <v>1466</v>
      </c>
      <c r="E167" s="11"/>
      <c r="F167" s="11"/>
      <c r="G167" s="11"/>
      <c r="H167" s="11"/>
      <c r="I167" s="11"/>
    </row>
    <row r="168" spans="1:9" x14ac:dyDescent="0.25">
      <c r="A168" s="21" t="s">
        <v>1167</v>
      </c>
      <c r="B168" s="11" t="s">
        <v>1607</v>
      </c>
      <c r="C168" s="4" t="s">
        <v>1172</v>
      </c>
      <c r="D168" s="2" t="s">
        <v>1467</v>
      </c>
      <c r="E168" s="11"/>
      <c r="F168" s="11"/>
      <c r="G168" s="11"/>
      <c r="H168" s="11"/>
      <c r="I168" s="11"/>
    </row>
    <row r="169" spans="1:9" x14ac:dyDescent="0.25">
      <c r="A169" s="21" t="s">
        <v>1167</v>
      </c>
      <c r="B169" s="11" t="s">
        <v>1608</v>
      </c>
      <c r="C169" s="4" t="s">
        <v>1173</v>
      </c>
      <c r="D169" s="2" t="s">
        <v>1468</v>
      </c>
      <c r="E169" s="11"/>
      <c r="F169" s="11"/>
      <c r="G169" s="11"/>
      <c r="H169" s="11"/>
      <c r="I169" s="11"/>
    </row>
    <row r="170" spans="1:9" x14ac:dyDescent="0.25">
      <c r="A170" s="21" t="s">
        <v>1167</v>
      </c>
      <c r="B170" s="11" t="s">
        <v>1609</v>
      </c>
      <c r="C170" s="4" t="s">
        <v>1174</v>
      </c>
      <c r="D170" s="2" t="s">
        <v>1469</v>
      </c>
      <c r="E170" s="11"/>
      <c r="F170" s="11"/>
      <c r="G170" s="11"/>
      <c r="H170" s="11"/>
      <c r="I170" s="11"/>
    </row>
    <row r="171" spans="1:9" x14ac:dyDescent="0.25">
      <c r="A171" s="21" t="s">
        <v>1175</v>
      </c>
      <c r="B171" s="11" t="s">
        <v>1603</v>
      </c>
      <c r="C171" s="4" t="s">
        <v>1170</v>
      </c>
      <c r="D171" s="2" t="s">
        <v>1465</v>
      </c>
      <c r="E171" s="11"/>
      <c r="F171" s="11"/>
      <c r="G171" s="11"/>
      <c r="H171" s="35" t="s">
        <v>1176</v>
      </c>
      <c r="I171" s="11"/>
    </row>
    <row r="172" spans="1:9" x14ac:dyDescent="0.25">
      <c r="A172" s="21" t="s">
        <v>1175</v>
      </c>
      <c r="B172" s="11" t="s">
        <v>1606</v>
      </c>
      <c r="C172" s="4" t="s">
        <v>1171</v>
      </c>
      <c r="D172" s="2" t="s">
        <v>1466</v>
      </c>
      <c r="E172" s="11"/>
      <c r="F172" s="11"/>
      <c r="G172" s="11"/>
      <c r="H172" s="11"/>
      <c r="I172" s="11"/>
    </row>
    <row r="173" spans="1:9" x14ac:dyDescent="0.25">
      <c r="A173" s="21" t="s">
        <v>1175</v>
      </c>
      <c r="B173" s="11" t="s">
        <v>1607</v>
      </c>
      <c r="C173" s="4" t="s">
        <v>1172</v>
      </c>
      <c r="D173" s="2" t="s">
        <v>1467</v>
      </c>
      <c r="E173" s="11"/>
      <c r="F173" s="11"/>
      <c r="G173" s="11"/>
      <c r="H173" s="11"/>
      <c r="I173" s="11"/>
    </row>
    <row r="174" spans="1:9" x14ac:dyDescent="0.25">
      <c r="A174" s="21" t="s">
        <v>1175</v>
      </c>
      <c r="B174" s="11" t="s">
        <v>1608</v>
      </c>
      <c r="C174" s="4" t="s">
        <v>1173</v>
      </c>
      <c r="D174" s="2" t="s">
        <v>1468</v>
      </c>
      <c r="E174" s="11"/>
      <c r="F174" s="11"/>
      <c r="G174" s="11"/>
      <c r="H174" s="11"/>
      <c r="I174" s="11"/>
    </row>
    <row r="175" spans="1:9" x14ac:dyDescent="0.25">
      <c r="A175" s="21" t="s">
        <v>1175</v>
      </c>
      <c r="B175" s="11" t="s">
        <v>1609</v>
      </c>
      <c r="C175" s="4" t="s">
        <v>1174</v>
      </c>
      <c r="D175" s="2" t="s">
        <v>1469</v>
      </c>
      <c r="E175" s="11"/>
      <c r="F175" s="11"/>
      <c r="G175" s="11"/>
      <c r="H175" s="11"/>
      <c r="I175" s="11"/>
    </row>
    <row r="176" spans="1:9" ht="45" x14ac:dyDescent="0.25">
      <c r="A176" s="21" t="s">
        <v>1188</v>
      </c>
      <c r="B176" s="11" t="s">
        <v>1604</v>
      </c>
      <c r="C176" s="4" t="s">
        <v>1189</v>
      </c>
      <c r="D176" s="2" t="s">
        <v>1494</v>
      </c>
      <c r="E176" s="11"/>
      <c r="F176" s="11"/>
      <c r="G176" s="11"/>
      <c r="H176" s="11"/>
      <c r="I176" s="11"/>
    </row>
    <row r="177" spans="1:9" ht="45" x14ac:dyDescent="0.25">
      <c r="A177" s="21" t="s">
        <v>1188</v>
      </c>
      <c r="B177" s="11" t="s">
        <v>1610</v>
      </c>
      <c r="C177" s="4" t="s">
        <v>1190</v>
      </c>
      <c r="D177" s="2" t="s">
        <v>1495</v>
      </c>
      <c r="E177" s="11"/>
      <c r="F177" s="11"/>
      <c r="G177" s="11"/>
      <c r="H177" s="11"/>
      <c r="I177" s="11"/>
    </row>
    <row r="178" spans="1:9" ht="45" x14ac:dyDescent="0.25">
      <c r="A178" s="21" t="s">
        <v>1188</v>
      </c>
      <c r="B178" s="11" t="s">
        <v>1611</v>
      </c>
      <c r="C178" s="4" t="s">
        <v>1191</v>
      </c>
      <c r="D178" s="2" t="s">
        <v>1496</v>
      </c>
      <c r="E178" s="11"/>
      <c r="F178" s="11"/>
      <c r="G178" s="11"/>
      <c r="H178" s="11"/>
      <c r="I178" s="11"/>
    </row>
    <row r="179" spans="1:9" ht="45" x14ac:dyDescent="0.25">
      <c r="A179" s="21" t="s">
        <v>1188</v>
      </c>
      <c r="B179" s="11" t="s">
        <v>1605</v>
      </c>
      <c r="C179" s="4" t="s">
        <v>1192</v>
      </c>
      <c r="D179" s="2" t="s">
        <v>1497</v>
      </c>
      <c r="E179" s="11"/>
      <c r="F179" s="11"/>
      <c r="G179" s="11"/>
      <c r="H179" s="11"/>
      <c r="I179" s="11"/>
    </row>
    <row r="180" spans="1:9" x14ac:dyDescent="0.25">
      <c r="A180" s="21" t="s">
        <v>1188</v>
      </c>
      <c r="B180" s="11"/>
      <c r="C180" s="4"/>
      <c r="D180" s="2"/>
      <c r="E180" s="11"/>
      <c r="F180" s="11"/>
      <c r="G180" s="11" t="s">
        <v>527</v>
      </c>
      <c r="H180" s="11"/>
      <c r="I180" s="11"/>
    </row>
    <row r="181" spans="1:9" ht="45" x14ac:dyDescent="0.25">
      <c r="A181" s="21" t="s">
        <v>1220</v>
      </c>
      <c r="B181" s="11" t="s">
        <v>520</v>
      </c>
      <c r="C181" s="1" t="s">
        <v>1222</v>
      </c>
      <c r="D181" s="1" t="s">
        <v>1470</v>
      </c>
      <c r="E181" s="11"/>
      <c r="F181" s="11"/>
      <c r="G181" s="11"/>
      <c r="H181" s="11"/>
      <c r="I181" s="11"/>
    </row>
    <row r="182" spans="1:9" ht="30" x14ac:dyDescent="0.25">
      <c r="A182" s="21" t="s">
        <v>1220</v>
      </c>
      <c r="B182" s="11" t="s">
        <v>442</v>
      </c>
      <c r="C182" s="1" t="s">
        <v>1221</v>
      </c>
      <c r="D182" s="2" t="s">
        <v>1471</v>
      </c>
      <c r="E182" s="11"/>
      <c r="F182" s="11"/>
      <c r="G182" s="11"/>
      <c r="H182" s="11"/>
      <c r="I182" s="11"/>
    </row>
    <row r="183" spans="1:9" x14ac:dyDescent="0.25">
      <c r="A183" s="21" t="s">
        <v>1250</v>
      </c>
      <c r="B183" s="11" t="s">
        <v>1251</v>
      </c>
      <c r="C183" s="1"/>
      <c r="D183" s="2"/>
      <c r="E183" s="11"/>
      <c r="F183" s="11"/>
      <c r="G183" s="11"/>
      <c r="H183" s="11"/>
      <c r="I183" s="11"/>
    </row>
    <row r="184" spans="1:9" x14ac:dyDescent="0.25">
      <c r="A184" s="21" t="s">
        <v>1250</v>
      </c>
      <c r="B184" s="11" t="s">
        <v>1252</v>
      </c>
      <c r="C184" s="1"/>
      <c r="E184" s="11"/>
      <c r="F184" s="11"/>
      <c r="G184" s="11"/>
      <c r="H184" s="11"/>
      <c r="I184" s="11"/>
    </row>
    <row r="185" spans="1:9" x14ac:dyDescent="0.25">
      <c r="A185" s="21" t="s">
        <v>1250</v>
      </c>
      <c r="B185" s="11" t="s">
        <v>1253</v>
      </c>
      <c r="C185" s="1"/>
      <c r="E185" s="11"/>
      <c r="F185" s="11"/>
      <c r="G185" s="11"/>
      <c r="H185" s="11"/>
      <c r="I185" s="11"/>
    </row>
    <row r="186" spans="1:9" x14ac:dyDescent="0.25">
      <c r="A186" s="21" t="s">
        <v>1250</v>
      </c>
      <c r="B186" s="11" t="s">
        <v>1254</v>
      </c>
      <c r="C186" s="1"/>
      <c r="E186" s="11"/>
      <c r="F186" s="11"/>
      <c r="G186" s="11"/>
      <c r="H186" s="11"/>
      <c r="I186" s="11"/>
    </row>
    <row r="187" spans="1:9" x14ac:dyDescent="0.25">
      <c r="A187" s="21" t="s">
        <v>1250</v>
      </c>
      <c r="B187" s="11" t="s">
        <v>1255</v>
      </c>
      <c r="C187" s="1"/>
      <c r="E187" s="11"/>
      <c r="F187" s="11"/>
      <c r="G187" s="11"/>
      <c r="H187" s="11"/>
      <c r="I187" s="11"/>
    </row>
    <row r="188" spans="1:9" x14ac:dyDescent="0.25">
      <c r="A188" s="21" t="s">
        <v>1250</v>
      </c>
      <c r="B188" s="11" t="s">
        <v>115</v>
      </c>
      <c r="C188" s="1" t="s">
        <v>1257</v>
      </c>
      <c r="D188" s="2" t="s">
        <v>1472</v>
      </c>
      <c r="E188" s="11"/>
      <c r="F188" s="11"/>
      <c r="G188" s="11"/>
      <c r="H188" s="4" t="s">
        <v>1260</v>
      </c>
      <c r="I188" s="11"/>
    </row>
    <row r="189" spans="1:9" x14ac:dyDescent="0.25">
      <c r="A189" s="21" t="s">
        <v>1250</v>
      </c>
      <c r="B189" s="11" t="s">
        <v>1256</v>
      </c>
      <c r="C189" s="1" t="s">
        <v>1258</v>
      </c>
      <c r="D189" s="2" t="s">
        <v>1473</v>
      </c>
      <c r="E189" s="11"/>
      <c r="F189" s="11"/>
      <c r="G189" s="11"/>
      <c r="H189" s="4" t="s">
        <v>1259</v>
      </c>
      <c r="I189" s="11"/>
    </row>
    <row r="190" spans="1:9" ht="30" x14ac:dyDescent="0.25">
      <c r="A190" s="21" t="s">
        <v>1267</v>
      </c>
      <c r="B190" s="33" t="s">
        <v>1274</v>
      </c>
      <c r="C190" s="2" t="s">
        <v>1276</v>
      </c>
      <c r="D190" s="2" t="s">
        <v>1474</v>
      </c>
    </row>
    <row r="191" spans="1:9" ht="30" x14ac:dyDescent="0.25">
      <c r="A191" s="21" t="s">
        <v>1267</v>
      </c>
      <c r="B191" s="5" t="s">
        <v>1285</v>
      </c>
      <c r="C191" s="2" t="s">
        <v>1277</v>
      </c>
      <c r="D191" s="2" t="s">
        <v>1475</v>
      </c>
      <c r="H191" s="29" t="s">
        <v>1275</v>
      </c>
    </row>
    <row r="192" spans="1:9" ht="30" x14ac:dyDescent="0.25">
      <c r="A192" s="21" t="s">
        <v>1267</v>
      </c>
      <c r="B192" s="5" t="s">
        <v>1282</v>
      </c>
      <c r="C192" s="2" t="s">
        <v>1278</v>
      </c>
      <c r="D192" s="2" t="s">
        <v>1476</v>
      </c>
      <c r="H192" s="29" t="s">
        <v>1275</v>
      </c>
    </row>
    <row r="193" spans="1:8" ht="45" x14ac:dyDescent="0.25">
      <c r="A193" s="21" t="s">
        <v>1267</v>
      </c>
      <c r="B193" s="5" t="s">
        <v>1283</v>
      </c>
      <c r="C193" s="2" t="s">
        <v>1291</v>
      </c>
      <c r="D193" s="1" t="s">
        <v>1477</v>
      </c>
      <c r="H193" s="29" t="s">
        <v>1275</v>
      </c>
    </row>
    <row r="194" spans="1:8" ht="30" x14ac:dyDescent="0.25">
      <c r="A194" s="21" t="s">
        <v>1267</v>
      </c>
      <c r="B194" s="5" t="s">
        <v>1284</v>
      </c>
      <c r="C194" s="2" t="s">
        <v>1279</v>
      </c>
      <c r="D194" s="4" t="s">
        <v>1478</v>
      </c>
    </row>
    <row r="195" spans="1:8" x14ac:dyDescent="0.25">
      <c r="A195" s="21" t="s">
        <v>1268</v>
      </c>
      <c r="B195" s="5" t="s">
        <v>1286</v>
      </c>
      <c r="C195" s="2" t="s">
        <v>1289</v>
      </c>
      <c r="D195" s="2" t="s">
        <v>1479</v>
      </c>
      <c r="H195" s="29" t="s">
        <v>1275</v>
      </c>
    </row>
    <row r="196" spans="1:8" x14ac:dyDescent="0.25">
      <c r="A196" s="21" t="s">
        <v>1268</v>
      </c>
      <c r="B196" s="5" t="s">
        <v>1287</v>
      </c>
      <c r="C196" s="2" t="s">
        <v>1288</v>
      </c>
      <c r="D196" s="2" t="s">
        <v>1480</v>
      </c>
      <c r="H196" s="29" t="s">
        <v>1280</v>
      </c>
    </row>
    <row r="197" spans="1:8" x14ac:dyDescent="0.25">
      <c r="A197" s="21" t="s">
        <v>1268</v>
      </c>
      <c r="B197" s="5" t="s">
        <v>1290</v>
      </c>
      <c r="C197" s="2" t="s">
        <v>1281</v>
      </c>
      <c r="D197" s="2" t="s">
        <v>1481</v>
      </c>
    </row>
    <row r="198" spans="1:8" ht="30" x14ac:dyDescent="0.25">
      <c r="A198" s="21" t="s">
        <v>1319</v>
      </c>
      <c r="B198" s="5" t="s">
        <v>442</v>
      </c>
      <c r="C198" s="1" t="s">
        <v>1321</v>
      </c>
      <c r="D198" s="2" t="s">
        <v>1482</v>
      </c>
    </row>
    <row r="199" spans="1:8" ht="30" x14ac:dyDescent="0.25">
      <c r="A199" s="21" t="s">
        <v>1319</v>
      </c>
      <c r="B199" s="5" t="s">
        <v>520</v>
      </c>
      <c r="C199" s="1" t="s">
        <v>1320</v>
      </c>
      <c r="D199" s="4" t="s">
        <v>1483</v>
      </c>
    </row>
    <row r="200" spans="1:8" x14ac:dyDescent="0.25">
      <c r="A200" s="21" t="s">
        <v>1317</v>
      </c>
      <c r="B200" s="5" t="s">
        <v>1580</v>
      </c>
      <c r="C200" s="2" t="s">
        <v>1322</v>
      </c>
      <c r="D200" s="1" t="s">
        <v>1484</v>
      </c>
    </row>
    <row r="201" spans="1:8" ht="30" x14ac:dyDescent="0.25">
      <c r="A201" s="21" t="s">
        <v>1317</v>
      </c>
      <c r="B201" s="5" t="s">
        <v>1581</v>
      </c>
      <c r="C201" s="2" t="s">
        <v>1323</v>
      </c>
      <c r="D201" s="1" t="s">
        <v>1485</v>
      </c>
    </row>
    <row r="202" spans="1:8" x14ac:dyDescent="0.25">
      <c r="A202" s="21" t="s">
        <v>1317</v>
      </c>
      <c r="B202" s="5" t="s">
        <v>1585</v>
      </c>
      <c r="C202" s="2" t="s">
        <v>1324</v>
      </c>
      <c r="D202" s="1" t="s">
        <v>1486</v>
      </c>
    </row>
    <row r="203" spans="1:8" x14ac:dyDescent="0.25">
      <c r="A203" s="21" t="s">
        <v>1317</v>
      </c>
      <c r="B203" s="5" t="s">
        <v>1583</v>
      </c>
      <c r="C203" s="2" t="s">
        <v>1325</v>
      </c>
      <c r="D203" s="1" t="s">
        <v>1487</v>
      </c>
    </row>
    <row r="204" spans="1:8" x14ac:dyDescent="0.25">
      <c r="A204" s="21" t="s">
        <v>1317</v>
      </c>
      <c r="B204" t="s">
        <v>1584</v>
      </c>
      <c r="C204" s="2" t="s">
        <v>1326</v>
      </c>
      <c r="D204" s="1" t="s">
        <v>1488</v>
      </c>
    </row>
    <row r="205" spans="1:8" x14ac:dyDescent="0.25">
      <c r="A205" s="21" t="s">
        <v>1317</v>
      </c>
      <c r="B205" s="5" t="s">
        <v>1582</v>
      </c>
      <c r="C205" s="2" t="s">
        <v>1327</v>
      </c>
      <c r="D205" s="1" t="s">
        <v>1489</v>
      </c>
    </row>
    <row r="206" spans="1:8" x14ac:dyDescent="0.25">
      <c r="A206" s="21" t="s">
        <v>1317</v>
      </c>
      <c r="C206" s="2"/>
      <c r="D206" s="2"/>
      <c r="G206" s="11" t="s">
        <v>524</v>
      </c>
    </row>
    <row r="207" spans="1:8" x14ac:dyDescent="0.25">
      <c r="A207" s="21" t="s">
        <v>1343</v>
      </c>
      <c r="B207" s="5" t="s">
        <v>1254</v>
      </c>
      <c r="C207" s="2" t="s">
        <v>1344</v>
      </c>
      <c r="D207" s="2" t="s">
        <v>1490</v>
      </c>
    </row>
    <row r="208" spans="1:8" x14ac:dyDescent="0.25">
      <c r="A208" s="21" t="s">
        <v>1343</v>
      </c>
      <c r="B208" s="5" t="s">
        <v>1630</v>
      </c>
      <c r="C208" s="2" t="s">
        <v>1345</v>
      </c>
      <c r="D208" s="2" t="s">
        <v>1491</v>
      </c>
    </row>
    <row r="209" spans="1:8" x14ac:dyDescent="0.25">
      <c r="A209" s="21" t="s">
        <v>1343</v>
      </c>
      <c r="B209" s="5" t="s">
        <v>1348</v>
      </c>
      <c r="C209" s="2" t="s">
        <v>1346</v>
      </c>
      <c r="D209" s="2" t="s">
        <v>1492</v>
      </c>
    </row>
    <row r="210" spans="1:8" x14ac:dyDescent="0.25">
      <c r="A210" s="21" t="s">
        <v>1343</v>
      </c>
      <c r="B210" s="5" t="s">
        <v>1253</v>
      </c>
      <c r="C210" s="2" t="s">
        <v>1347</v>
      </c>
      <c r="D210" s="2" t="s">
        <v>1493</v>
      </c>
    </row>
    <row r="211" spans="1:8" x14ac:dyDescent="0.25">
      <c r="A211" s="21" t="s">
        <v>1343</v>
      </c>
      <c r="C211" s="2"/>
      <c r="D211" s="2"/>
      <c r="G211" s="11" t="s">
        <v>524</v>
      </c>
    </row>
    <row r="212" spans="1:8" x14ac:dyDescent="0.25">
      <c r="A212" s="21" t="s">
        <v>1615</v>
      </c>
      <c r="B212" s="5" t="s">
        <v>1619</v>
      </c>
      <c r="C212" s="2" t="s">
        <v>1621</v>
      </c>
      <c r="D212" s="33" t="s">
        <v>1974</v>
      </c>
      <c r="H212" s="43" t="s">
        <v>1783</v>
      </c>
    </row>
    <row r="213" spans="1:8" x14ac:dyDescent="0.25">
      <c r="A213" s="21" t="s">
        <v>1615</v>
      </c>
      <c r="B213" s="5" t="s">
        <v>1620</v>
      </c>
      <c r="C213" s="2" t="s">
        <v>1622</v>
      </c>
      <c r="D213" s="33" t="s">
        <v>1975</v>
      </c>
      <c r="H213" s="14" t="s">
        <v>129</v>
      </c>
    </row>
    <row r="214" spans="1:8" ht="30" x14ac:dyDescent="0.25">
      <c r="A214" s="21" t="s">
        <v>1615</v>
      </c>
      <c r="B214" s="5" t="s">
        <v>1252</v>
      </c>
      <c r="C214" s="2" t="s">
        <v>1623</v>
      </c>
      <c r="D214" s="33" t="s">
        <v>1976</v>
      </c>
    </row>
    <row r="215" spans="1:8" ht="30" x14ac:dyDescent="0.25">
      <c r="A215" s="21" t="s">
        <v>1615</v>
      </c>
      <c r="B215" s="5" t="s">
        <v>1253</v>
      </c>
      <c r="C215" s="2" t="s">
        <v>1624</v>
      </c>
      <c r="D215" s="33" t="s">
        <v>1977</v>
      </c>
    </row>
    <row r="216" spans="1:8" x14ac:dyDescent="0.25">
      <c r="A216" s="21" t="s">
        <v>1615</v>
      </c>
      <c r="B216" s="5" t="s">
        <v>1254</v>
      </c>
      <c r="C216" s="2" t="s">
        <v>1344</v>
      </c>
      <c r="D216" s="33" t="s">
        <v>1490</v>
      </c>
    </row>
    <row r="217" spans="1:8" x14ac:dyDescent="0.25">
      <c r="A217" s="21" t="s">
        <v>1615</v>
      </c>
      <c r="B217" s="5" t="s">
        <v>1630</v>
      </c>
      <c r="C217" s="2" t="s">
        <v>1625</v>
      </c>
      <c r="D217" s="33" t="s">
        <v>1978</v>
      </c>
    </row>
    <row r="218" spans="1:8" x14ac:dyDescent="0.25">
      <c r="A218" s="21" t="s">
        <v>1615</v>
      </c>
      <c r="G218" s="11" t="s">
        <v>524</v>
      </c>
    </row>
    <row r="219" spans="1:8" x14ac:dyDescent="0.25">
      <c r="A219" s="21" t="s">
        <v>1616</v>
      </c>
      <c r="B219" s="5" t="s">
        <v>1254</v>
      </c>
      <c r="C219" s="2" t="s">
        <v>1344</v>
      </c>
      <c r="D219" s="33" t="s">
        <v>1490</v>
      </c>
    </row>
    <row r="220" spans="1:8" x14ac:dyDescent="0.25">
      <c r="A220" s="21" t="s">
        <v>1616</v>
      </c>
      <c r="B220" s="5" t="s">
        <v>1630</v>
      </c>
      <c r="C220" s="2" t="s">
        <v>1625</v>
      </c>
      <c r="D220" s="33" t="s">
        <v>1978</v>
      </c>
    </row>
    <row r="221" spans="1:8" x14ac:dyDescent="0.25">
      <c r="A221" s="21" t="s">
        <v>1616</v>
      </c>
      <c r="B221" s="5" t="s">
        <v>1631</v>
      </c>
      <c r="C221" s="2" t="s">
        <v>1626</v>
      </c>
      <c r="D221" s="33" t="s">
        <v>1979</v>
      </c>
    </row>
    <row r="222" spans="1:8" x14ac:dyDescent="0.25">
      <c r="A222" s="21" t="s">
        <v>1616</v>
      </c>
      <c r="B222" s="5" t="s">
        <v>1251</v>
      </c>
      <c r="C222" s="2" t="s">
        <v>1627</v>
      </c>
      <c r="D222" s="33" t="s">
        <v>1980</v>
      </c>
      <c r="H222" s="14" t="s">
        <v>129</v>
      </c>
    </row>
    <row r="223" spans="1:8" x14ac:dyDescent="0.25">
      <c r="A223" s="21" t="s">
        <v>1616</v>
      </c>
      <c r="B223" s="5" t="s">
        <v>1252</v>
      </c>
      <c r="C223" s="2" t="s">
        <v>1628</v>
      </c>
      <c r="D223" s="33" t="s">
        <v>1981</v>
      </c>
    </row>
    <row r="224" spans="1:8" x14ac:dyDescent="0.25">
      <c r="A224" s="21" t="s">
        <v>1616</v>
      </c>
      <c r="B224" s="5" t="s">
        <v>1253</v>
      </c>
      <c r="C224" s="2" t="s">
        <v>1629</v>
      </c>
      <c r="D224" s="33" t="s">
        <v>1982</v>
      </c>
    </row>
    <row r="225" spans="1:8" x14ac:dyDescent="0.25">
      <c r="A225" s="21" t="s">
        <v>1616</v>
      </c>
      <c r="C225" s="2"/>
      <c r="G225" s="11" t="s">
        <v>524</v>
      </c>
    </row>
    <row r="226" spans="1:8" x14ac:dyDescent="0.25">
      <c r="A226" s="21" t="s">
        <v>1640</v>
      </c>
      <c r="B226" s="5" t="s">
        <v>520</v>
      </c>
      <c r="C226" s="33" t="s">
        <v>1645</v>
      </c>
      <c r="D226" s="33" t="s">
        <v>1983</v>
      </c>
      <c r="H226" s="21" t="s">
        <v>1646</v>
      </c>
    </row>
    <row r="227" spans="1:8" x14ac:dyDescent="0.25">
      <c r="A227" s="21" t="s">
        <v>1640</v>
      </c>
      <c r="B227" s="5" t="s">
        <v>520</v>
      </c>
      <c r="C227" s="33" t="s">
        <v>1642</v>
      </c>
      <c r="D227" s="33" t="s">
        <v>1984</v>
      </c>
      <c r="H227" s="2" t="s">
        <v>1648</v>
      </c>
    </row>
    <row r="228" spans="1:8" x14ac:dyDescent="0.25">
      <c r="A228" s="21" t="s">
        <v>1640</v>
      </c>
      <c r="B228" s="5" t="s">
        <v>442</v>
      </c>
      <c r="C228" s="33" t="s">
        <v>1643</v>
      </c>
      <c r="D228" s="33" t="s">
        <v>1985</v>
      </c>
    </row>
    <row r="229" spans="1:8" x14ac:dyDescent="0.25">
      <c r="A229" s="21" t="s">
        <v>1640</v>
      </c>
      <c r="B229" s="5" t="s">
        <v>1641</v>
      </c>
      <c r="C229" s="33" t="s">
        <v>1644</v>
      </c>
      <c r="D229" s="33" t="s">
        <v>1986</v>
      </c>
    </row>
    <row r="230" spans="1:8" x14ac:dyDescent="0.25">
      <c r="A230" s="21" t="s">
        <v>1640</v>
      </c>
      <c r="G230" s="5" t="s">
        <v>527</v>
      </c>
    </row>
    <row r="231" spans="1:8" ht="30" x14ac:dyDescent="0.25">
      <c r="A231" s="21" t="s">
        <v>1685</v>
      </c>
      <c r="B231" s="5" t="s">
        <v>1688</v>
      </c>
      <c r="C231" s="2" t="s">
        <v>1690</v>
      </c>
      <c r="D231" s="33" t="s">
        <v>1987</v>
      </c>
    </row>
    <row r="232" spans="1:8" x14ac:dyDescent="0.25">
      <c r="A232" s="21" t="s">
        <v>1685</v>
      </c>
      <c r="B232" s="5" t="s">
        <v>1689</v>
      </c>
      <c r="C232" s="2" t="s">
        <v>1691</v>
      </c>
      <c r="D232" s="33" t="s">
        <v>1989</v>
      </c>
    </row>
    <row r="233" spans="1:8" x14ac:dyDescent="0.25">
      <c r="A233" s="21" t="s">
        <v>1685</v>
      </c>
      <c r="G233" s="11" t="s">
        <v>524</v>
      </c>
    </row>
    <row r="234" spans="1:8" x14ac:dyDescent="0.25">
      <c r="A234" s="21" t="s">
        <v>1685</v>
      </c>
      <c r="G234" s="5" t="s">
        <v>527</v>
      </c>
    </row>
    <row r="235" spans="1:8" x14ac:dyDescent="0.25">
      <c r="A235" s="21" t="s">
        <v>1686</v>
      </c>
      <c r="B235" s="5" t="s">
        <v>1701</v>
      </c>
      <c r="C235" s="2" t="s">
        <v>1692</v>
      </c>
      <c r="D235" s="33" t="s">
        <v>1988</v>
      </c>
    </row>
    <row r="236" spans="1:8" x14ac:dyDescent="0.25">
      <c r="A236" s="21" t="s">
        <v>1686</v>
      </c>
      <c r="B236" s="5" t="s">
        <v>1702</v>
      </c>
      <c r="C236" s="2" t="s">
        <v>1693</v>
      </c>
      <c r="D236" s="33" t="s">
        <v>1693</v>
      </c>
    </row>
    <row r="237" spans="1:8" x14ac:dyDescent="0.25">
      <c r="A237" s="21" t="s">
        <v>1686</v>
      </c>
      <c r="B237" s="5" t="s">
        <v>1703</v>
      </c>
      <c r="C237" s="2" t="s">
        <v>1694</v>
      </c>
      <c r="D237" s="2" t="s">
        <v>1694</v>
      </c>
    </row>
    <row r="238" spans="1:8" x14ac:dyDescent="0.25">
      <c r="A238" s="21" t="s">
        <v>1686</v>
      </c>
      <c r="B238" s="5" t="s">
        <v>1704</v>
      </c>
      <c r="C238" s="2" t="s">
        <v>1695</v>
      </c>
      <c r="D238" s="2" t="s">
        <v>1695</v>
      </c>
    </row>
    <row r="239" spans="1:8" x14ac:dyDescent="0.25">
      <c r="A239" s="21" t="s">
        <v>1686</v>
      </c>
      <c r="G239" s="11" t="s">
        <v>524</v>
      </c>
    </row>
    <row r="240" spans="1:8" x14ac:dyDescent="0.25">
      <c r="A240" s="21" t="s">
        <v>1686</v>
      </c>
      <c r="G240" s="5" t="s">
        <v>527</v>
      </c>
    </row>
    <row r="241" spans="1:8" x14ac:dyDescent="0.25">
      <c r="A241" s="21" t="s">
        <v>1687</v>
      </c>
      <c r="B241" s="5" t="s">
        <v>1708</v>
      </c>
      <c r="C241" s="2" t="s">
        <v>1696</v>
      </c>
      <c r="D241" s="33" t="s">
        <v>1990</v>
      </c>
    </row>
    <row r="242" spans="1:8" x14ac:dyDescent="0.25">
      <c r="A242" s="21" t="s">
        <v>1687</v>
      </c>
      <c r="B242" s="5" t="s">
        <v>1705</v>
      </c>
      <c r="C242" s="2" t="s">
        <v>1697</v>
      </c>
      <c r="D242" s="33" t="s">
        <v>1991</v>
      </c>
    </row>
    <row r="243" spans="1:8" x14ac:dyDescent="0.25">
      <c r="A243" s="21" t="s">
        <v>1687</v>
      </c>
      <c r="B243" s="5" t="s">
        <v>1688</v>
      </c>
      <c r="C243" s="2" t="s">
        <v>1698</v>
      </c>
      <c r="D243" s="33" t="s">
        <v>1992</v>
      </c>
    </row>
    <row r="244" spans="1:8" x14ac:dyDescent="0.25">
      <c r="A244" s="21" t="s">
        <v>1687</v>
      </c>
      <c r="B244" s="5" t="s">
        <v>1706</v>
      </c>
      <c r="C244" s="2" t="s">
        <v>1699</v>
      </c>
      <c r="D244" s="2" t="s">
        <v>1699</v>
      </c>
    </row>
    <row r="245" spans="1:8" x14ac:dyDescent="0.25">
      <c r="A245" s="21" t="s">
        <v>1687</v>
      </c>
      <c r="B245" s="5" t="s">
        <v>1707</v>
      </c>
      <c r="C245" s="2" t="s">
        <v>1700</v>
      </c>
      <c r="D245" s="33" t="s">
        <v>1993</v>
      </c>
    </row>
    <row r="246" spans="1:8" x14ac:dyDescent="0.25">
      <c r="A246" s="21" t="s">
        <v>1687</v>
      </c>
      <c r="G246" s="11" t="s">
        <v>524</v>
      </c>
    </row>
    <row r="247" spans="1:8" x14ac:dyDescent="0.25">
      <c r="A247" s="21" t="s">
        <v>1687</v>
      </c>
      <c r="G247" s="5" t="s">
        <v>527</v>
      </c>
    </row>
    <row r="248" spans="1:8" x14ac:dyDescent="0.25">
      <c r="A248" s="21" t="s">
        <v>1721</v>
      </c>
      <c r="B248" s="5" t="s">
        <v>1254</v>
      </c>
      <c r="C248" s="2" t="s">
        <v>1344</v>
      </c>
      <c r="D248" s="33" t="s">
        <v>1490</v>
      </c>
    </row>
    <row r="249" spans="1:8" x14ac:dyDescent="0.25">
      <c r="A249" s="21" t="s">
        <v>1721</v>
      </c>
      <c r="B249" s="5" t="s">
        <v>1713</v>
      </c>
      <c r="C249" s="2" t="s">
        <v>1711</v>
      </c>
      <c r="D249" s="33" t="s">
        <v>1711</v>
      </c>
      <c r="H249" s="52" t="s">
        <v>1784</v>
      </c>
    </row>
    <row r="250" spans="1:8" x14ac:dyDescent="0.25">
      <c r="A250" s="21" t="s">
        <v>1721</v>
      </c>
      <c r="B250" s="5" t="s">
        <v>1714</v>
      </c>
      <c r="C250" s="2" t="s">
        <v>1712</v>
      </c>
      <c r="D250" s="33" t="s">
        <v>1994</v>
      </c>
      <c r="H250" s="53" t="s">
        <v>1785</v>
      </c>
    </row>
    <row r="251" spans="1:8" x14ac:dyDescent="0.25">
      <c r="A251" s="21" t="s">
        <v>1721</v>
      </c>
      <c r="B251" s="5" t="s">
        <v>1251</v>
      </c>
      <c r="C251" s="2" t="s">
        <v>1627</v>
      </c>
      <c r="D251" s="33" t="s">
        <v>1980</v>
      </c>
      <c r="H251" s="14" t="s">
        <v>129</v>
      </c>
    </row>
    <row r="252" spans="1:8" x14ac:dyDescent="0.25">
      <c r="A252" s="21" t="s">
        <v>1721</v>
      </c>
      <c r="B252" s="5" t="s">
        <v>1252</v>
      </c>
      <c r="C252" s="2" t="s">
        <v>1628</v>
      </c>
      <c r="D252" s="33" t="s">
        <v>1981</v>
      </c>
    </row>
    <row r="253" spans="1:8" x14ac:dyDescent="0.25">
      <c r="A253" s="21" t="s">
        <v>1721</v>
      </c>
      <c r="G253" s="5" t="s">
        <v>115</v>
      </c>
    </row>
    <row r="254" spans="1:8" x14ac:dyDescent="0.25">
      <c r="A254" s="21" t="s">
        <v>1722</v>
      </c>
      <c r="B254" s="5" t="s">
        <v>1254</v>
      </c>
      <c r="C254" s="2" t="s">
        <v>1344</v>
      </c>
      <c r="D254" s="33" t="s">
        <v>1490</v>
      </c>
    </row>
    <row r="255" spans="1:8" x14ac:dyDescent="0.25">
      <c r="A255" s="21" t="s">
        <v>1722</v>
      </c>
      <c r="B255" s="5" t="s">
        <v>1630</v>
      </c>
      <c r="C255" s="2" t="s">
        <v>1345</v>
      </c>
      <c r="D255" s="33" t="s">
        <v>1491</v>
      </c>
    </row>
    <row r="256" spans="1:8" x14ac:dyDescent="0.25">
      <c r="A256" s="21" t="s">
        <v>1722</v>
      </c>
      <c r="B256" s="5" t="s">
        <v>1251</v>
      </c>
      <c r="C256" s="2" t="s">
        <v>1627</v>
      </c>
      <c r="D256" s="33" t="s">
        <v>1980</v>
      </c>
      <c r="H256" s="14" t="s">
        <v>129</v>
      </c>
    </row>
    <row r="257" spans="1:7" x14ac:dyDescent="0.25">
      <c r="A257" s="21" t="s">
        <v>1722</v>
      </c>
      <c r="B257" s="5" t="s">
        <v>1252</v>
      </c>
      <c r="C257" s="2" t="s">
        <v>1628</v>
      </c>
      <c r="D257" s="33" t="s">
        <v>1981</v>
      </c>
    </row>
    <row r="258" spans="1:7" x14ac:dyDescent="0.25">
      <c r="A258" s="21" t="s">
        <v>1722</v>
      </c>
      <c r="B258" s="5" t="s">
        <v>1782</v>
      </c>
      <c r="C258" s="2" t="s">
        <v>2183</v>
      </c>
      <c r="D258" s="33" t="s">
        <v>1995</v>
      </c>
    </row>
    <row r="259" spans="1:7" x14ac:dyDescent="0.25">
      <c r="A259" s="21" t="s">
        <v>1722</v>
      </c>
      <c r="B259" s="5" t="s">
        <v>1253</v>
      </c>
      <c r="C259" s="2" t="s">
        <v>1629</v>
      </c>
      <c r="D259" s="33" t="s">
        <v>1982</v>
      </c>
    </row>
    <row r="260" spans="1:7" x14ac:dyDescent="0.25">
      <c r="A260" s="21" t="s">
        <v>1722</v>
      </c>
      <c r="G260" s="11" t="s">
        <v>524</v>
      </c>
    </row>
    <row r="261" spans="1:7" x14ac:dyDescent="0.25">
      <c r="A261" s="5" t="s">
        <v>1358</v>
      </c>
      <c r="B261" s="5" t="s">
        <v>1825</v>
      </c>
      <c r="C261" t="s">
        <v>1818</v>
      </c>
      <c r="D261" s="33" t="s">
        <v>1996</v>
      </c>
    </row>
    <row r="262" spans="1:7" x14ac:dyDescent="0.25">
      <c r="A262" s="5" t="s">
        <v>1358</v>
      </c>
      <c r="B262" s="5" t="s">
        <v>1826</v>
      </c>
      <c r="C262" t="s">
        <v>1819</v>
      </c>
      <c r="D262" s="33" t="s">
        <v>1997</v>
      </c>
    </row>
    <row r="263" spans="1:7" x14ac:dyDescent="0.25">
      <c r="A263" s="5" t="s">
        <v>1358</v>
      </c>
      <c r="B263" s="5" t="s">
        <v>1827</v>
      </c>
      <c r="C263" t="s">
        <v>1820</v>
      </c>
      <c r="D263" s="33" t="s">
        <v>1998</v>
      </c>
    </row>
    <row r="264" spans="1:7" x14ac:dyDescent="0.25">
      <c r="A264" s="5" t="s">
        <v>1358</v>
      </c>
      <c r="B264" s="5" t="s">
        <v>1828</v>
      </c>
      <c r="C264" t="s">
        <v>1821</v>
      </c>
      <c r="D264" s="33" t="s">
        <v>1999</v>
      </c>
    </row>
    <row r="265" spans="1:7" x14ac:dyDescent="0.25">
      <c r="A265" s="5" t="s">
        <v>1358</v>
      </c>
      <c r="B265" s="5" t="s">
        <v>1829</v>
      </c>
      <c r="C265" t="s">
        <v>1822</v>
      </c>
      <c r="D265" s="33" t="s">
        <v>2000</v>
      </c>
    </row>
    <row r="266" spans="1:7" x14ac:dyDescent="0.25">
      <c r="A266" s="5" t="s">
        <v>1358</v>
      </c>
      <c r="B266" s="5" t="s">
        <v>1830</v>
      </c>
      <c r="C266" t="s">
        <v>1823</v>
      </c>
      <c r="D266" s="33" t="s">
        <v>2001</v>
      </c>
    </row>
    <row r="267" spans="1:7" x14ac:dyDescent="0.25">
      <c r="A267" s="5" t="s">
        <v>1358</v>
      </c>
      <c r="B267" s="5" t="s">
        <v>115</v>
      </c>
      <c r="C267" t="s">
        <v>1824</v>
      </c>
      <c r="D267" s="33" t="s">
        <v>2002</v>
      </c>
    </row>
    <row r="268" spans="1:7" x14ac:dyDescent="0.25">
      <c r="A268" s="5" t="s">
        <v>1359</v>
      </c>
      <c r="B268" s="5" t="s">
        <v>1254</v>
      </c>
      <c r="C268" t="s">
        <v>1344</v>
      </c>
      <c r="D268" s="33" t="s">
        <v>1490</v>
      </c>
    </row>
    <row r="269" spans="1:7" x14ac:dyDescent="0.25">
      <c r="A269" s="5" t="s">
        <v>1359</v>
      </c>
      <c r="B269" s="5" t="s">
        <v>1630</v>
      </c>
      <c r="C269" t="s">
        <v>1345</v>
      </c>
      <c r="D269" s="33" t="s">
        <v>1491</v>
      </c>
    </row>
    <row r="270" spans="1:7" x14ac:dyDescent="0.25">
      <c r="A270" s="5" t="s">
        <v>1359</v>
      </c>
      <c r="B270" s="5" t="s">
        <v>1251</v>
      </c>
      <c r="C270" t="s">
        <v>1831</v>
      </c>
      <c r="D270" s="33" t="s">
        <v>2003</v>
      </c>
    </row>
    <row r="271" spans="1:7" x14ac:dyDescent="0.25">
      <c r="A271" s="5" t="s">
        <v>1359</v>
      </c>
      <c r="B271" s="5" t="s">
        <v>1252</v>
      </c>
      <c r="C271" t="s">
        <v>1832</v>
      </c>
      <c r="D271" s="33" t="s">
        <v>2004</v>
      </c>
    </row>
    <row r="272" spans="1:7" x14ac:dyDescent="0.25">
      <c r="A272" s="5" t="s">
        <v>1359</v>
      </c>
      <c r="B272" s="5" t="s">
        <v>1253</v>
      </c>
      <c r="C272" t="s">
        <v>1347</v>
      </c>
      <c r="D272" s="33" t="s">
        <v>1493</v>
      </c>
    </row>
    <row r="273" spans="1:4" x14ac:dyDescent="0.25">
      <c r="A273" s="5" t="s">
        <v>1359</v>
      </c>
      <c r="B273" s="5" t="s">
        <v>115</v>
      </c>
      <c r="C273" t="s">
        <v>1833</v>
      </c>
      <c r="D273" s="33" t="s">
        <v>1472</v>
      </c>
    </row>
    <row r="274" spans="1:4" x14ac:dyDescent="0.25">
      <c r="A274" s="5" t="s">
        <v>1371</v>
      </c>
      <c r="B274" s="5" t="s">
        <v>1850</v>
      </c>
      <c r="C274" s="33" t="s">
        <v>1845</v>
      </c>
      <c r="D274" s="33" t="s">
        <v>2005</v>
      </c>
    </row>
    <row r="275" spans="1:4" x14ac:dyDescent="0.25">
      <c r="A275" s="5" t="s">
        <v>1371</v>
      </c>
      <c r="B275" s="5" t="s">
        <v>1607</v>
      </c>
      <c r="C275" s="33" t="s">
        <v>1846</v>
      </c>
      <c r="D275" s="33" t="s">
        <v>2006</v>
      </c>
    </row>
    <row r="276" spans="1:4" x14ac:dyDescent="0.25">
      <c r="A276" s="5" t="s">
        <v>1371</v>
      </c>
      <c r="B276" s="5" t="s">
        <v>1851</v>
      </c>
      <c r="C276" s="33" t="s">
        <v>1848</v>
      </c>
      <c r="D276" s="33" t="s">
        <v>2007</v>
      </c>
    </row>
    <row r="277" spans="1:4" x14ac:dyDescent="0.25">
      <c r="A277" s="5" t="s">
        <v>1371</v>
      </c>
      <c r="B277" s="5" t="s">
        <v>1852</v>
      </c>
      <c r="C277" s="33" t="s">
        <v>1847</v>
      </c>
      <c r="D277" s="33" t="s">
        <v>2008</v>
      </c>
    </row>
    <row r="278" spans="1:4" x14ac:dyDescent="0.25">
      <c r="A278" s="5" t="s">
        <v>1371</v>
      </c>
      <c r="B278" s="5" t="s">
        <v>1853</v>
      </c>
      <c r="C278" s="33" t="s">
        <v>1849</v>
      </c>
      <c r="D278" s="33" t="s">
        <v>2009</v>
      </c>
    </row>
    <row r="279" spans="1:4" x14ac:dyDescent="0.25">
      <c r="A279" s="5" t="s">
        <v>1381</v>
      </c>
      <c r="B279" s="5">
        <v>-2</v>
      </c>
      <c r="C279" s="33" t="s">
        <v>1840</v>
      </c>
      <c r="D279" s="33" t="s">
        <v>2010</v>
      </c>
    </row>
    <row r="280" spans="1:4" x14ac:dyDescent="0.25">
      <c r="A280" s="5" t="s">
        <v>1381</v>
      </c>
      <c r="B280" s="5">
        <v>-1</v>
      </c>
      <c r="C280" s="33" t="s">
        <v>1841</v>
      </c>
      <c r="D280" s="33" t="s">
        <v>2011</v>
      </c>
    </row>
    <row r="281" spans="1:4" x14ac:dyDescent="0.25">
      <c r="A281" s="5" t="s">
        <v>1381</v>
      </c>
      <c r="B281" s="5">
        <v>0</v>
      </c>
      <c r="C281" s="33" t="s">
        <v>1842</v>
      </c>
      <c r="D281" s="33" t="s">
        <v>2012</v>
      </c>
    </row>
    <row r="282" spans="1:4" x14ac:dyDescent="0.25">
      <c r="A282" s="5" t="s">
        <v>1381</v>
      </c>
      <c r="B282" s="5">
        <v>1</v>
      </c>
      <c r="C282" s="33" t="s">
        <v>1843</v>
      </c>
      <c r="D282" s="33" t="s">
        <v>2013</v>
      </c>
    </row>
    <row r="283" spans="1:4" x14ac:dyDescent="0.25">
      <c r="A283" s="5" t="s">
        <v>1381</v>
      </c>
      <c r="B283" s="5">
        <v>2</v>
      </c>
      <c r="C283" s="33" t="s">
        <v>1844</v>
      </c>
      <c r="D283" s="33" t="s">
        <v>2014</v>
      </c>
    </row>
    <row r="284" spans="1:4" ht="30" x14ac:dyDescent="0.25">
      <c r="A284" s="5" t="s">
        <v>1383</v>
      </c>
      <c r="B284" s="5">
        <v>0</v>
      </c>
      <c r="C284" s="4" t="s">
        <v>1834</v>
      </c>
      <c r="D284" s="33" t="s">
        <v>2015</v>
      </c>
    </row>
    <row r="285" spans="1:4" ht="30" x14ac:dyDescent="0.25">
      <c r="A285" s="5" t="s">
        <v>1383</v>
      </c>
      <c r="B285" s="5">
        <v>1</v>
      </c>
      <c r="C285" s="4" t="s">
        <v>1835</v>
      </c>
      <c r="D285" s="1" t="s">
        <v>2016</v>
      </c>
    </row>
    <row r="286" spans="1:4" ht="30" x14ac:dyDescent="0.25">
      <c r="A286" s="5" t="s">
        <v>1383</v>
      </c>
      <c r="B286" s="5">
        <v>3</v>
      </c>
      <c r="C286" s="4" t="s">
        <v>1836</v>
      </c>
      <c r="D286" s="1" t="s">
        <v>2017</v>
      </c>
    </row>
    <row r="287" spans="1:4" ht="30" x14ac:dyDescent="0.25">
      <c r="A287" s="5" t="s">
        <v>1383</v>
      </c>
      <c r="B287" s="5">
        <v>4</v>
      </c>
      <c r="C287" s="4" t="s">
        <v>1837</v>
      </c>
      <c r="D287" s="1" t="s">
        <v>2018</v>
      </c>
    </row>
    <row r="288" spans="1:4" ht="30" x14ac:dyDescent="0.25">
      <c r="A288" s="5" t="s">
        <v>1383</v>
      </c>
      <c r="B288" s="5">
        <v>5</v>
      </c>
      <c r="C288" s="4" t="s">
        <v>1838</v>
      </c>
      <c r="D288" s="1" t="s">
        <v>2019</v>
      </c>
    </row>
    <row r="289" spans="1:7" ht="30" x14ac:dyDescent="0.25">
      <c r="A289" s="5" t="s">
        <v>1383</v>
      </c>
      <c r="B289" s="5">
        <v>-1</v>
      </c>
      <c r="C289" s="4" t="s">
        <v>1839</v>
      </c>
      <c r="D289" s="1" t="s">
        <v>2020</v>
      </c>
    </row>
    <row r="290" spans="1:7" x14ac:dyDescent="0.25">
      <c r="A290" s="5" t="s">
        <v>1888</v>
      </c>
      <c r="B290" s="5" t="s">
        <v>1892</v>
      </c>
      <c r="C290" s="33" t="s">
        <v>1894</v>
      </c>
      <c r="D290" s="33" t="s">
        <v>1894</v>
      </c>
    </row>
    <row r="291" spans="1:7" x14ac:dyDescent="0.25">
      <c r="A291" s="5" t="s">
        <v>1888</v>
      </c>
      <c r="B291" s="5" t="s">
        <v>1893</v>
      </c>
      <c r="C291" s="33" t="s">
        <v>1895</v>
      </c>
      <c r="D291" s="33" t="s">
        <v>1895</v>
      </c>
    </row>
    <row r="292" spans="1:7" x14ac:dyDescent="0.25">
      <c r="A292" s="5" t="s">
        <v>1888</v>
      </c>
      <c r="G292" s="5" t="s">
        <v>527</v>
      </c>
    </row>
    <row r="293" spans="1:7" ht="60" x14ac:dyDescent="0.25">
      <c r="A293" s="5" t="s">
        <v>2096</v>
      </c>
      <c r="B293" s="76" t="s">
        <v>520</v>
      </c>
      <c r="C293" s="29" t="s">
        <v>994</v>
      </c>
      <c r="D293" s="29" t="s">
        <v>995</v>
      </c>
      <c r="E293" s="29" t="s">
        <v>997</v>
      </c>
    </row>
    <row r="294" spans="1:7" ht="75" x14ac:dyDescent="0.25">
      <c r="A294" s="5" t="s">
        <v>2096</v>
      </c>
      <c r="B294" s="76" t="s">
        <v>442</v>
      </c>
      <c r="C294" s="29" t="s">
        <v>999</v>
      </c>
      <c r="D294" s="29" t="s">
        <v>1000</v>
      </c>
      <c r="E294" s="29" t="s">
        <v>1002</v>
      </c>
    </row>
    <row r="295" spans="1:7" ht="30" x14ac:dyDescent="0.25">
      <c r="A295" s="21" t="s">
        <v>2124</v>
      </c>
      <c r="B295" s="75" t="s">
        <v>2125</v>
      </c>
      <c r="C295" s="29" t="s">
        <v>980</v>
      </c>
      <c r="D295" s="29" t="s">
        <v>981</v>
      </c>
      <c r="G295" s="2" t="s">
        <v>2128</v>
      </c>
    </row>
    <row r="296" spans="1:7" ht="30" x14ac:dyDescent="0.25">
      <c r="A296" s="21" t="s">
        <v>2124</v>
      </c>
      <c r="B296" s="75" t="s">
        <v>642</v>
      </c>
      <c r="C296" s="29" t="s">
        <v>983</v>
      </c>
      <c r="D296" s="29" t="s">
        <v>984</v>
      </c>
      <c r="G296" s="5" t="s">
        <v>2129</v>
      </c>
    </row>
    <row r="297" spans="1:7" x14ac:dyDescent="0.25">
      <c r="A297" s="21" t="s">
        <v>2124</v>
      </c>
      <c r="B297" s="75" t="s">
        <v>2126</v>
      </c>
      <c r="C297" s="75" t="s">
        <v>2130</v>
      </c>
      <c r="D297" s="75" t="s">
        <v>2131</v>
      </c>
    </row>
    <row r="298" spans="1:7" ht="30" x14ac:dyDescent="0.25">
      <c r="A298" s="21" t="s">
        <v>2124</v>
      </c>
      <c r="B298" s="75" t="s">
        <v>2127</v>
      </c>
      <c r="C298" s="29" t="s">
        <v>989</v>
      </c>
      <c r="D298" s="29" t="s">
        <v>990</v>
      </c>
      <c r="G298" s="5" t="s">
        <v>2129</v>
      </c>
    </row>
    <row r="299" spans="1:7" x14ac:dyDescent="0.25">
      <c r="A299" s="21" t="s">
        <v>2132</v>
      </c>
    </row>
  </sheetData>
  <autoFilter ref="A1:I292" xr:uid="{00000000-0001-0000-0300-000000000000}"/>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817C7-99C0-4590-BEF4-CF649227D0EB}">
  <sheetPr>
    <tabColor rgb="FF92D050"/>
  </sheetPr>
  <dimension ref="A1:E23"/>
  <sheetViews>
    <sheetView workbookViewId="0">
      <pane ySplit="1" topLeftCell="A7" activePane="bottomLeft" state="frozen"/>
      <selection pane="bottomLeft" activeCell="C10" sqref="C10"/>
    </sheetView>
  </sheetViews>
  <sheetFormatPr baseColWidth="10" defaultColWidth="11.5703125" defaultRowHeight="15" x14ac:dyDescent="0.25"/>
  <cols>
    <col min="1" max="1" width="23.85546875" bestFit="1" customWidth="1"/>
    <col min="2" max="2" width="27.85546875" bestFit="1" customWidth="1"/>
    <col min="3" max="3" width="42.42578125" customWidth="1"/>
    <col min="4" max="4" width="36" style="11" customWidth="1"/>
    <col min="5" max="5" width="41.28515625" style="11" customWidth="1"/>
  </cols>
  <sheetData>
    <row r="1" spans="1:5" x14ac:dyDescent="0.25">
      <c r="A1" s="26" t="s">
        <v>1040</v>
      </c>
      <c r="B1" s="26" t="s">
        <v>1041</v>
      </c>
      <c r="C1" s="26" t="s">
        <v>1042</v>
      </c>
      <c r="D1" s="60" t="s">
        <v>1044</v>
      </c>
      <c r="E1" s="60" t="s">
        <v>1045</v>
      </c>
    </row>
    <row r="2" spans="1:5" x14ac:dyDescent="0.25">
      <c r="A2" s="21" t="s">
        <v>1035</v>
      </c>
      <c r="B2" s="1" t="s">
        <v>1046</v>
      </c>
      <c r="C2" s="34" t="s">
        <v>1211</v>
      </c>
      <c r="D2" s="1" t="s">
        <v>2035</v>
      </c>
      <c r="E2" s="1"/>
    </row>
    <row r="3" spans="1:5" ht="150" x14ac:dyDescent="0.25">
      <c r="A3" s="1" t="s">
        <v>62</v>
      </c>
      <c r="B3" s="1" t="s">
        <v>1043</v>
      </c>
      <c r="C3" s="1" t="s">
        <v>1207</v>
      </c>
      <c r="D3" s="1" t="s">
        <v>2021</v>
      </c>
      <c r="E3" s="1" t="s">
        <v>2023</v>
      </c>
    </row>
    <row r="4" spans="1:5" ht="240" x14ac:dyDescent="0.25">
      <c r="A4" s="21" t="s">
        <v>68</v>
      </c>
      <c r="B4" s="1" t="s">
        <v>1210</v>
      </c>
      <c r="C4" s="1" t="s">
        <v>2182</v>
      </c>
      <c r="D4" s="1" t="s">
        <v>2022</v>
      </c>
      <c r="E4" s="1" t="s">
        <v>2024</v>
      </c>
    </row>
    <row r="5" spans="1:5" ht="135" x14ac:dyDescent="0.25">
      <c r="A5" s="21" t="s">
        <v>1050</v>
      </c>
      <c r="B5" s="1" t="s">
        <v>1210</v>
      </c>
      <c r="C5" s="1" t="s">
        <v>1209</v>
      </c>
      <c r="D5" s="1" t="s">
        <v>2022</v>
      </c>
      <c r="E5" s="1" t="s">
        <v>2026</v>
      </c>
    </row>
    <row r="6" spans="1:5" ht="120" x14ac:dyDescent="0.25">
      <c r="A6" s="21" t="s">
        <v>1066</v>
      </c>
      <c r="B6" s="1" t="s">
        <v>1067</v>
      </c>
      <c r="C6" s="1" t="s">
        <v>1298</v>
      </c>
      <c r="D6" s="1" t="s">
        <v>2025</v>
      </c>
      <c r="E6" s="1" t="s">
        <v>2027</v>
      </c>
    </row>
    <row r="7" spans="1:5" x14ac:dyDescent="0.25">
      <c r="A7" s="21" t="s">
        <v>1130</v>
      </c>
      <c r="B7" s="1" t="s">
        <v>1131</v>
      </c>
      <c r="C7" s="34" t="s">
        <v>1132</v>
      </c>
      <c r="D7" s="1" t="s">
        <v>2036</v>
      </c>
      <c r="E7" s="1"/>
    </row>
    <row r="8" spans="1:5" ht="195" x14ac:dyDescent="0.25">
      <c r="A8" s="21" t="s">
        <v>1183</v>
      </c>
      <c r="B8" s="1" t="s">
        <v>1185</v>
      </c>
      <c r="C8" s="1" t="s">
        <v>1208</v>
      </c>
      <c r="D8" s="1" t="s">
        <v>2028</v>
      </c>
      <c r="E8" s="1" t="s">
        <v>2029</v>
      </c>
    </row>
    <row r="9" spans="1:5" ht="180" x14ac:dyDescent="0.25">
      <c r="A9" s="21" t="s">
        <v>1184</v>
      </c>
      <c r="B9" s="1" t="s">
        <v>1185</v>
      </c>
      <c r="C9" s="1" t="s">
        <v>1297</v>
      </c>
      <c r="D9" s="1" t="s">
        <v>2028</v>
      </c>
      <c r="E9" s="1" t="s">
        <v>2030</v>
      </c>
    </row>
    <row r="10" spans="1:5" x14ac:dyDescent="0.25">
      <c r="A10" s="21" t="s">
        <v>1213</v>
      </c>
      <c r="B10" s="2" t="s">
        <v>1214</v>
      </c>
      <c r="C10" s="36" t="s">
        <v>1299</v>
      </c>
      <c r="D10" s="1" t="s">
        <v>2031</v>
      </c>
      <c r="E10" s="1"/>
    </row>
    <row r="11" spans="1:5" ht="60" x14ac:dyDescent="0.25">
      <c r="A11" s="21" t="s">
        <v>1261</v>
      </c>
      <c r="B11" s="4" t="s">
        <v>1067</v>
      </c>
      <c r="C11" s="2" t="s">
        <v>1262</v>
      </c>
      <c r="D11" s="1" t="s">
        <v>2025</v>
      </c>
      <c r="E11" s="1" t="s">
        <v>2032</v>
      </c>
    </row>
    <row r="12" spans="1:5" ht="90" x14ac:dyDescent="0.25">
      <c r="A12" s="21" t="s">
        <v>1295</v>
      </c>
      <c r="B12" s="4" t="s">
        <v>1067</v>
      </c>
      <c r="C12" s="2" t="s">
        <v>1296</v>
      </c>
      <c r="D12" s="1" t="s">
        <v>2025</v>
      </c>
      <c r="E12" s="1" t="s">
        <v>2033</v>
      </c>
    </row>
    <row r="13" spans="1:5" ht="75" x14ac:dyDescent="0.25">
      <c r="A13" s="21" t="s">
        <v>2136</v>
      </c>
      <c r="B13" s="4" t="s">
        <v>1067</v>
      </c>
      <c r="C13" s="2" t="s">
        <v>2137</v>
      </c>
      <c r="D13" s="1" t="s">
        <v>2025</v>
      </c>
      <c r="E13" s="1"/>
    </row>
    <row r="14" spans="1:5" ht="135" x14ac:dyDescent="0.25">
      <c r="A14" s="21" t="s">
        <v>2163</v>
      </c>
      <c r="B14" s="4" t="s">
        <v>1067</v>
      </c>
      <c r="C14" s="2" t="s">
        <v>2164</v>
      </c>
      <c r="D14" s="1" t="s">
        <v>2025</v>
      </c>
      <c r="E14" s="1"/>
    </row>
    <row r="15" spans="1:5" x14ac:dyDescent="0.25">
      <c r="A15" s="2"/>
      <c r="B15" s="2"/>
      <c r="C15" s="2"/>
      <c r="D15" s="1"/>
      <c r="E15" s="1"/>
    </row>
    <row r="16" spans="1:5" x14ac:dyDescent="0.25">
      <c r="A16" s="2"/>
      <c r="B16" s="2"/>
      <c r="C16" s="2"/>
      <c r="D16" s="1"/>
      <c r="E16" s="1"/>
    </row>
    <row r="17" spans="1:5" x14ac:dyDescent="0.25">
      <c r="A17" s="2"/>
      <c r="B17" s="2"/>
      <c r="C17" s="2"/>
      <c r="D17" s="1"/>
      <c r="E17" s="1"/>
    </row>
    <row r="18" spans="1:5" x14ac:dyDescent="0.25">
      <c r="A18" s="2"/>
      <c r="B18" s="2"/>
      <c r="C18" s="2"/>
      <c r="D18" s="1"/>
      <c r="E18" s="1"/>
    </row>
    <row r="19" spans="1:5" x14ac:dyDescent="0.25">
      <c r="A19" s="2"/>
      <c r="B19" s="2"/>
      <c r="C19" s="2"/>
      <c r="D19" s="1"/>
      <c r="E19" s="1"/>
    </row>
    <row r="20" spans="1:5" x14ac:dyDescent="0.25">
      <c r="A20" s="2"/>
      <c r="B20" s="2"/>
      <c r="C20" s="2"/>
      <c r="D20" s="1"/>
      <c r="E20" s="1"/>
    </row>
    <row r="21" spans="1:5" x14ac:dyDescent="0.25">
      <c r="A21" s="2"/>
      <c r="B21" s="2"/>
      <c r="C21" s="2"/>
      <c r="D21" s="1"/>
      <c r="E21" s="1"/>
    </row>
    <row r="22" spans="1:5" x14ac:dyDescent="0.25">
      <c r="A22" s="2"/>
      <c r="B22" s="2"/>
      <c r="C22" s="2"/>
      <c r="D22" s="1"/>
      <c r="E22" s="1"/>
    </row>
    <row r="23" spans="1:5" x14ac:dyDescent="0.25">
      <c r="A23" s="2"/>
      <c r="B23" s="2"/>
      <c r="C23" s="2"/>
      <c r="D23" s="1"/>
      <c r="E23" s="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87"/>
  <sheetViews>
    <sheetView zoomScaleNormal="100" workbookViewId="0">
      <selection activeCell="D12" sqref="D12"/>
    </sheetView>
  </sheetViews>
  <sheetFormatPr baseColWidth="10" defaultColWidth="8.5703125" defaultRowHeight="15" x14ac:dyDescent="0.25"/>
  <cols>
    <col min="1" max="1" width="12.5703125" style="31" bestFit="1" customWidth="1"/>
    <col min="2" max="2" width="56" style="31" bestFit="1" customWidth="1"/>
    <col min="3" max="3" width="53.28515625" style="31" customWidth="1"/>
    <col min="4" max="4" width="37" style="31" customWidth="1"/>
    <col min="5" max="5" width="35" style="31" customWidth="1"/>
    <col min="6" max="6" width="26.28515625" style="31" customWidth="1"/>
    <col min="7" max="16384" width="8.5703125" style="31"/>
  </cols>
  <sheetData>
    <row r="1" spans="1:6" x14ac:dyDescent="0.25">
      <c r="A1" s="56" t="s">
        <v>3</v>
      </c>
      <c r="B1" s="56" t="s">
        <v>5</v>
      </c>
      <c r="C1" s="13" t="s">
        <v>6</v>
      </c>
      <c r="D1" s="13" t="s">
        <v>7</v>
      </c>
      <c r="E1" s="13" t="s">
        <v>8</v>
      </c>
      <c r="F1" s="13" t="s">
        <v>9</v>
      </c>
    </row>
    <row r="2" spans="1:6" x14ac:dyDescent="0.25">
      <c r="A2" s="32" t="s">
        <v>84</v>
      </c>
      <c r="B2" s="32" t="s">
        <v>746</v>
      </c>
      <c r="C2" s="29" t="s">
        <v>747</v>
      </c>
      <c r="D2" s="29" t="s">
        <v>748</v>
      </c>
      <c r="E2" s="29"/>
      <c r="F2" s="29"/>
    </row>
    <row r="3" spans="1:6" x14ac:dyDescent="0.25">
      <c r="A3" s="32" t="s">
        <v>84</v>
      </c>
      <c r="B3" s="32" t="s">
        <v>749</v>
      </c>
      <c r="C3" s="29" t="s">
        <v>750</v>
      </c>
      <c r="D3" s="29" t="s">
        <v>751</v>
      </c>
      <c r="E3" s="29"/>
      <c r="F3" s="29"/>
    </row>
    <row r="4" spans="1:6" ht="30" x14ac:dyDescent="0.25">
      <c r="A4" s="57" t="s">
        <v>284</v>
      </c>
      <c r="B4" s="38" t="s">
        <v>752</v>
      </c>
      <c r="C4" s="38" t="s">
        <v>1613</v>
      </c>
      <c r="D4" s="38"/>
      <c r="E4" s="29"/>
      <c r="F4" s="29"/>
    </row>
    <row r="5" spans="1:6" ht="30" x14ac:dyDescent="0.25">
      <c r="A5" s="57" t="s">
        <v>284</v>
      </c>
      <c r="B5" s="38" t="s">
        <v>753</v>
      </c>
      <c r="C5" s="38" t="s">
        <v>1632</v>
      </c>
      <c r="D5" s="38"/>
      <c r="E5" s="29"/>
      <c r="F5" s="29"/>
    </row>
    <row r="6" spans="1:6" ht="30" x14ac:dyDescent="0.25">
      <c r="A6" s="32" t="s">
        <v>284</v>
      </c>
      <c r="B6" s="32" t="s">
        <v>754</v>
      </c>
      <c r="C6" s="29" t="s">
        <v>755</v>
      </c>
      <c r="D6" s="29" t="s">
        <v>756</v>
      </c>
      <c r="E6" s="29"/>
      <c r="F6" s="29"/>
    </row>
    <row r="7" spans="1:6" x14ac:dyDescent="0.25">
      <c r="A7" s="32" t="s">
        <v>284</v>
      </c>
      <c r="B7" s="32" t="s">
        <v>757</v>
      </c>
      <c r="C7" s="29" t="s">
        <v>758</v>
      </c>
      <c r="D7" s="29" t="s">
        <v>759</v>
      </c>
      <c r="E7" s="29"/>
      <c r="F7" s="29"/>
    </row>
    <row r="8" spans="1:6" x14ac:dyDescent="0.25">
      <c r="A8" s="32" t="s">
        <v>284</v>
      </c>
      <c r="B8" s="32" t="s">
        <v>760</v>
      </c>
      <c r="C8" s="29" t="s">
        <v>761</v>
      </c>
      <c r="D8" s="29" t="s">
        <v>762</v>
      </c>
      <c r="E8" s="29"/>
      <c r="F8" s="29"/>
    </row>
    <row r="9" spans="1:6" x14ac:dyDescent="0.25">
      <c r="A9" s="32" t="s">
        <v>284</v>
      </c>
      <c r="B9" s="32" t="s">
        <v>763</v>
      </c>
      <c r="C9" s="29" t="s">
        <v>764</v>
      </c>
      <c r="D9" s="29" t="s">
        <v>765</v>
      </c>
      <c r="E9" s="29"/>
      <c r="F9" s="29"/>
    </row>
    <row r="10" spans="1:6" x14ac:dyDescent="0.25">
      <c r="A10" s="32" t="s">
        <v>284</v>
      </c>
      <c r="B10" s="32" t="s">
        <v>766</v>
      </c>
      <c r="C10" s="29" t="s">
        <v>767</v>
      </c>
      <c r="D10" s="29" t="s">
        <v>768</v>
      </c>
      <c r="E10" s="29"/>
      <c r="F10" s="29"/>
    </row>
    <row r="11" spans="1:6" x14ac:dyDescent="0.25">
      <c r="A11" s="32" t="s">
        <v>284</v>
      </c>
      <c r="B11" s="32" t="s">
        <v>769</v>
      </c>
      <c r="C11" s="29" t="s">
        <v>770</v>
      </c>
      <c r="D11" s="29" t="s">
        <v>771</v>
      </c>
      <c r="E11" s="29"/>
      <c r="F11" s="29"/>
    </row>
    <row r="12" spans="1:6" ht="30" x14ac:dyDescent="0.25">
      <c r="A12" s="32" t="s">
        <v>284</v>
      </c>
      <c r="B12" s="32" t="s">
        <v>772</v>
      </c>
      <c r="C12" s="79" t="s">
        <v>2188</v>
      </c>
      <c r="D12" s="29" t="s">
        <v>773</v>
      </c>
      <c r="E12" s="29"/>
      <c r="F12" s="29"/>
    </row>
    <row r="13" spans="1:6" x14ac:dyDescent="0.25">
      <c r="A13" s="32" t="s">
        <v>284</v>
      </c>
      <c r="B13" s="32" t="s">
        <v>774</v>
      </c>
      <c r="C13" s="29" t="s">
        <v>775</v>
      </c>
      <c r="D13" s="29" t="s">
        <v>776</v>
      </c>
      <c r="E13" s="29"/>
      <c r="F13" s="29"/>
    </row>
    <row r="14" spans="1:6" x14ac:dyDescent="0.25">
      <c r="A14" s="32" t="s">
        <v>284</v>
      </c>
      <c r="B14" s="32" t="s">
        <v>777</v>
      </c>
      <c r="C14" s="29" t="s">
        <v>528</v>
      </c>
      <c r="D14" s="29" t="s">
        <v>529</v>
      </c>
      <c r="E14" s="29"/>
      <c r="F14" s="29"/>
    </row>
    <row r="15" spans="1:6" x14ac:dyDescent="0.25">
      <c r="A15" s="32" t="s">
        <v>284</v>
      </c>
      <c r="B15" s="32" t="s">
        <v>778</v>
      </c>
      <c r="C15" s="29" t="s">
        <v>779</v>
      </c>
      <c r="D15" s="29" t="s">
        <v>780</v>
      </c>
      <c r="E15" s="29"/>
      <c r="F15" s="29"/>
    </row>
    <row r="16" spans="1:6" ht="60" x14ac:dyDescent="0.25">
      <c r="A16" s="32" t="s">
        <v>216</v>
      </c>
      <c r="B16" s="29" t="s">
        <v>781</v>
      </c>
      <c r="C16" s="29" t="s">
        <v>782</v>
      </c>
      <c r="D16" s="29" t="s">
        <v>783</v>
      </c>
      <c r="E16" s="29" t="s">
        <v>784</v>
      </c>
      <c r="F16" s="29" t="s">
        <v>785</v>
      </c>
    </row>
    <row r="17" spans="1:6" ht="30" x14ac:dyDescent="0.25">
      <c r="A17" s="32" t="s">
        <v>216</v>
      </c>
      <c r="B17" s="29" t="s">
        <v>786</v>
      </c>
      <c r="C17" s="29" t="s">
        <v>787</v>
      </c>
      <c r="D17" s="29" t="s">
        <v>788</v>
      </c>
      <c r="E17" s="29" t="s">
        <v>789</v>
      </c>
      <c r="F17" s="29" t="s">
        <v>790</v>
      </c>
    </row>
    <row r="18" spans="1:6" ht="45" x14ac:dyDescent="0.25">
      <c r="A18" s="32" t="s">
        <v>216</v>
      </c>
      <c r="B18" s="29" t="s">
        <v>791</v>
      </c>
      <c r="C18" s="29" t="s">
        <v>792</v>
      </c>
      <c r="D18" s="29" t="s">
        <v>793</v>
      </c>
      <c r="E18" s="29" t="s">
        <v>794</v>
      </c>
      <c r="F18" s="29" t="s">
        <v>795</v>
      </c>
    </row>
    <row r="19" spans="1:6" ht="75" x14ac:dyDescent="0.25">
      <c r="A19" s="32" t="s">
        <v>216</v>
      </c>
      <c r="B19" s="29" t="s">
        <v>796</v>
      </c>
      <c r="C19" s="29" t="s">
        <v>797</v>
      </c>
      <c r="D19" s="29" t="s">
        <v>798</v>
      </c>
      <c r="E19" s="29" t="s">
        <v>799</v>
      </c>
      <c r="F19" s="29" t="s">
        <v>800</v>
      </c>
    </row>
    <row r="20" spans="1:6" ht="60" x14ac:dyDescent="0.25">
      <c r="A20" s="32" t="s">
        <v>216</v>
      </c>
      <c r="B20" s="29" t="s">
        <v>801</v>
      </c>
      <c r="C20" s="29" t="s">
        <v>802</v>
      </c>
      <c r="D20" s="29" t="s">
        <v>803</v>
      </c>
      <c r="E20" s="29" t="s">
        <v>804</v>
      </c>
      <c r="F20" s="29" t="s">
        <v>805</v>
      </c>
    </row>
    <row r="21" spans="1:6" ht="75" x14ac:dyDescent="0.25">
      <c r="A21" s="32" t="s">
        <v>216</v>
      </c>
      <c r="B21" s="29" t="s">
        <v>806</v>
      </c>
      <c r="C21" s="29" t="s">
        <v>807</v>
      </c>
      <c r="D21" s="29" t="s">
        <v>808</v>
      </c>
      <c r="E21" s="29" t="s">
        <v>809</v>
      </c>
      <c r="F21" s="29" t="s">
        <v>810</v>
      </c>
    </row>
    <row r="22" spans="1:6" x14ac:dyDescent="0.25">
      <c r="A22" s="32" t="s">
        <v>216</v>
      </c>
      <c r="B22" s="29" t="s">
        <v>811</v>
      </c>
      <c r="C22" s="29" t="s">
        <v>812</v>
      </c>
      <c r="D22" s="29" t="s">
        <v>813</v>
      </c>
      <c r="E22" s="29"/>
      <c r="F22" s="29"/>
    </row>
    <row r="23" spans="1:6" ht="30" x14ac:dyDescent="0.25">
      <c r="A23" s="32" t="s">
        <v>216</v>
      </c>
      <c r="B23" s="29" t="s">
        <v>814</v>
      </c>
      <c r="C23" s="29" t="s">
        <v>815</v>
      </c>
      <c r="D23" s="29" t="s">
        <v>816</v>
      </c>
      <c r="E23" s="29"/>
      <c r="F23" s="29"/>
    </row>
    <row r="24" spans="1:6" ht="30" x14ac:dyDescent="0.25">
      <c r="A24" s="32" t="s">
        <v>216</v>
      </c>
      <c r="B24" s="29" t="s">
        <v>817</v>
      </c>
      <c r="C24" s="29" t="s">
        <v>818</v>
      </c>
      <c r="D24" s="29" t="s">
        <v>819</v>
      </c>
      <c r="E24" s="29"/>
      <c r="F24" s="29"/>
    </row>
    <row r="25" spans="1:6" x14ac:dyDescent="0.25">
      <c r="A25" s="32" t="s">
        <v>216</v>
      </c>
      <c r="B25" s="29" t="s">
        <v>820</v>
      </c>
      <c r="C25" s="29" t="s">
        <v>821</v>
      </c>
      <c r="D25" s="29" t="s">
        <v>822</v>
      </c>
      <c r="E25" s="29"/>
      <c r="F25" s="29"/>
    </row>
    <row r="26" spans="1:6" x14ac:dyDescent="0.25">
      <c r="A26" s="32" t="s">
        <v>216</v>
      </c>
      <c r="B26" s="29" t="s">
        <v>823</v>
      </c>
      <c r="C26" s="29" t="s">
        <v>824</v>
      </c>
      <c r="D26" s="29" t="s">
        <v>825</v>
      </c>
      <c r="E26" s="29" t="s">
        <v>826</v>
      </c>
      <c r="F26" s="29" t="s">
        <v>827</v>
      </c>
    </row>
    <row r="27" spans="1:6" ht="30" x14ac:dyDescent="0.25">
      <c r="A27" s="32" t="s">
        <v>216</v>
      </c>
      <c r="B27" s="29" t="s">
        <v>828</v>
      </c>
      <c r="C27" s="29" t="s">
        <v>829</v>
      </c>
      <c r="D27" s="29" t="s">
        <v>830</v>
      </c>
      <c r="E27" s="29"/>
      <c r="F27" s="29"/>
    </row>
    <row r="28" spans="1:6" x14ac:dyDescent="0.25">
      <c r="A28" s="32" t="s">
        <v>216</v>
      </c>
      <c r="B28" s="29" t="s">
        <v>831</v>
      </c>
      <c r="C28" s="29" t="s">
        <v>832</v>
      </c>
      <c r="D28" s="29" t="s">
        <v>833</v>
      </c>
      <c r="E28" s="29"/>
      <c r="F28" s="29"/>
    </row>
    <row r="29" spans="1:6" ht="30" x14ac:dyDescent="0.25">
      <c r="A29" s="32" t="s">
        <v>216</v>
      </c>
      <c r="B29" s="29" t="s">
        <v>834</v>
      </c>
      <c r="C29" s="46" t="s">
        <v>835</v>
      </c>
      <c r="D29" s="46" t="s">
        <v>836</v>
      </c>
      <c r="E29" s="29"/>
      <c r="F29" s="29"/>
    </row>
    <row r="30" spans="1:6" ht="30" x14ac:dyDescent="0.25">
      <c r="A30" s="32" t="s">
        <v>216</v>
      </c>
      <c r="B30" s="29" t="s">
        <v>837</v>
      </c>
      <c r="C30" s="46" t="s">
        <v>838</v>
      </c>
      <c r="D30" s="46" t="s">
        <v>839</v>
      </c>
      <c r="E30" s="29"/>
      <c r="F30" s="29"/>
    </row>
    <row r="31" spans="1:6" ht="30" x14ac:dyDescent="0.25">
      <c r="A31" s="32" t="s">
        <v>216</v>
      </c>
      <c r="B31" s="29" t="s">
        <v>840</v>
      </c>
      <c r="C31" s="46" t="s">
        <v>841</v>
      </c>
      <c r="D31" s="46" t="s">
        <v>842</v>
      </c>
      <c r="E31" s="29"/>
      <c r="F31" s="29"/>
    </row>
    <row r="32" spans="1:6" ht="30" x14ac:dyDescent="0.25">
      <c r="A32" s="32" t="s">
        <v>216</v>
      </c>
      <c r="B32" s="29" t="s">
        <v>843</v>
      </c>
      <c r="C32" s="46" t="s">
        <v>844</v>
      </c>
      <c r="D32" s="46" t="s">
        <v>845</v>
      </c>
      <c r="E32" s="29"/>
      <c r="F32" s="29"/>
    </row>
    <row r="33" spans="1:6" x14ac:dyDescent="0.25">
      <c r="A33" s="32" t="s">
        <v>216</v>
      </c>
      <c r="B33" s="29" t="s">
        <v>846</v>
      </c>
      <c r="C33" s="46" t="s">
        <v>847</v>
      </c>
      <c r="D33" s="46" t="s">
        <v>848</v>
      </c>
      <c r="E33" s="29"/>
      <c r="F33" s="29"/>
    </row>
    <row r="34" spans="1:6" ht="30" x14ac:dyDescent="0.25">
      <c r="A34" s="32" t="s">
        <v>216</v>
      </c>
      <c r="B34" s="29" t="s">
        <v>849</v>
      </c>
      <c r="C34" s="46" t="s">
        <v>850</v>
      </c>
      <c r="D34" s="46" t="s">
        <v>851</v>
      </c>
      <c r="E34" s="29"/>
      <c r="F34" s="29"/>
    </row>
    <row r="35" spans="1:6" ht="30" x14ac:dyDescent="0.25">
      <c r="A35" s="32" t="s">
        <v>216</v>
      </c>
      <c r="B35" s="29" t="s">
        <v>852</v>
      </c>
      <c r="C35" s="46" t="s">
        <v>853</v>
      </c>
      <c r="D35" s="46" t="s">
        <v>854</v>
      </c>
      <c r="E35" s="29"/>
      <c r="F35" s="29"/>
    </row>
    <row r="36" spans="1:6" ht="30" x14ac:dyDescent="0.25">
      <c r="A36" s="32" t="s">
        <v>216</v>
      </c>
      <c r="B36" s="29" t="s">
        <v>855</v>
      </c>
      <c r="C36" s="46" t="s">
        <v>856</v>
      </c>
      <c r="D36" s="46" t="s">
        <v>857</v>
      </c>
      <c r="E36" s="29"/>
      <c r="F36" s="29"/>
    </row>
    <row r="37" spans="1:6" ht="30" x14ac:dyDescent="0.25">
      <c r="A37" s="32" t="s">
        <v>216</v>
      </c>
      <c r="B37" s="29" t="s">
        <v>858</v>
      </c>
      <c r="C37" s="46" t="s">
        <v>856</v>
      </c>
      <c r="D37" s="46" t="s">
        <v>857</v>
      </c>
      <c r="E37" s="29"/>
      <c r="F37" s="29"/>
    </row>
    <row r="38" spans="1:6" ht="30" x14ac:dyDescent="0.25">
      <c r="A38" s="32" t="s">
        <v>216</v>
      </c>
      <c r="B38" s="29" t="s">
        <v>859</v>
      </c>
      <c r="C38" s="46" t="s">
        <v>860</v>
      </c>
      <c r="D38" s="46" t="s">
        <v>861</v>
      </c>
      <c r="E38" s="29"/>
      <c r="F38" s="29"/>
    </row>
    <row r="39" spans="1:6" ht="30" x14ac:dyDescent="0.25">
      <c r="A39" s="32" t="s">
        <v>216</v>
      </c>
      <c r="B39" s="29" t="s">
        <v>862</v>
      </c>
      <c r="C39" s="46" t="s">
        <v>863</v>
      </c>
      <c r="D39" s="46" t="s">
        <v>864</v>
      </c>
      <c r="E39" s="29"/>
      <c r="F39" s="29"/>
    </row>
    <row r="40" spans="1:6" ht="30" x14ac:dyDescent="0.25">
      <c r="A40" s="32" t="s">
        <v>216</v>
      </c>
      <c r="B40" s="29" t="s">
        <v>865</v>
      </c>
      <c r="C40" s="46" t="s">
        <v>866</v>
      </c>
      <c r="D40" s="46" t="s">
        <v>867</v>
      </c>
      <c r="E40" s="29"/>
      <c r="F40" s="29"/>
    </row>
    <row r="41" spans="1:6" ht="30" x14ac:dyDescent="0.25">
      <c r="A41" s="32" t="s">
        <v>216</v>
      </c>
      <c r="B41" s="29" t="s">
        <v>868</v>
      </c>
      <c r="C41" s="46" t="s">
        <v>869</v>
      </c>
      <c r="D41" s="46" t="s">
        <v>870</v>
      </c>
      <c r="E41" s="29"/>
      <c r="F41" s="29"/>
    </row>
    <row r="42" spans="1:6" ht="30" x14ac:dyDescent="0.25">
      <c r="A42" s="32" t="s">
        <v>216</v>
      </c>
      <c r="B42" s="29" t="s">
        <v>871</v>
      </c>
      <c r="C42" s="46" t="s">
        <v>872</v>
      </c>
      <c r="D42" s="46" t="s">
        <v>873</v>
      </c>
      <c r="E42" s="29"/>
      <c r="F42" s="29"/>
    </row>
    <row r="43" spans="1:6" ht="45" x14ac:dyDescent="0.25">
      <c r="A43" s="32" t="s">
        <v>216</v>
      </c>
      <c r="B43" s="29" t="s">
        <v>874</v>
      </c>
      <c r="C43" s="46" t="s">
        <v>875</v>
      </c>
      <c r="D43" s="46" t="s">
        <v>876</v>
      </c>
      <c r="E43" s="29"/>
      <c r="F43" s="29"/>
    </row>
    <row r="44" spans="1:6" ht="30" x14ac:dyDescent="0.25">
      <c r="A44" s="32" t="s">
        <v>216</v>
      </c>
      <c r="B44" s="29" t="s">
        <v>877</v>
      </c>
      <c r="C44" s="46" t="s">
        <v>878</v>
      </c>
      <c r="D44" s="46" t="s">
        <v>879</v>
      </c>
      <c r="E44" s="29"/>
      <c r="F44" s="29"/>
    </row>
    <row r="45" spans="1:6" ht="45" x14ac:dyDescent="0.25">
      <c r="A45" s="32" t="s">
        <v>216</v>
      </c>
      <c r="B45" s="29" t="s">
        <v>880</v>
      </c>
      <c r="C45" s="46" t="s">
        <v>881</v>
      </c>
      <c r="D45" s="46" t="s">
        <v>882</v>
      </c>
      <c r="E45" s="29"/>
      <c r="F45" s="29"/>
    </row>
    <row r="46" spans="1:6" x14ac:dyDescent="0.25">
      <c r="A46" s="32" t="s">
        <v>216</v>
      </c>
      <c r="B46" s="29" t="s">
        <v>883</v>
      </c>
      <c r="C46" s="29" t="s">
        <v>884</v>
      </c>
      <c r="D46" s="29" t="s">
        <v>885</v>
      </c>
      <c r="E46" s="29"/>
      <c r="F46" s="29"/>
    </row>
    <row r="47" spans="1:6" x14ac:dyDescent="0.25">
      <c r="A47" s="32" t="s">
        <v>216</v>
      </c>
      <c r="B47" s="29" t="s">
        <v>886</v>
      </c>
      <c r="C47" s="29" t="s">
        <v>887</v>
      </c>
      <c r="D47" s="29" t="s">
        <v>888</v>
      </c>
      <c r="E47" s="29"/>
      <c r="F47" s="29"/>
    </row>
    <row r="48" spans="1:6" ht="45" x14ac:dyDescent="0.25">
      <c r="A48" s="32" t="s">
        <v>216</v>
      </c>
      <c r="B48" s="29" t="s">
        <v>889</v>
      </c>
      <c r="C48" s="29" t="s">
        <v>890</v>
      </c>
      <c r="D48" s="29" t="s">
        <v>891</v>
      </c>
      <c r="E48" s="29" t="s">
        <v>892</v>
      </c>
      <c r="F48" s="29" t="s">
        <v>893</v>
      </c>
    </row>
    <row r="49" spans="1:6" ht="60" x14ac:dyDescent="0.25">
      <c r="A49" s="32" t="s">
        <v>216</v>
      </c>
      <c r="B49" s="29" t="s">
        <v>894</v>
      </c>
      <c r="C49" s="29" t="s">
        <v>895</v>
      </c>
      <c r="D49" s="29" t="s">
        <v>896</v>
      </c>
      <c r="E49" s="29" t="s">
        <v>897</v>
      </c>
      <c r="F49" s="29" t="s">
        <v>898</v>
      </c>
    </row>
    <row r="50" spans="1:6" ht="75" x14ac:dyDescent="0.25">
      <c r="A50" s="32" t="s">
        <v>216</v>
      </c>
      <c r="B50" s="29" t="s">
        <v>899</v>
      </c>
      <c r="C50" s="29" t="s">
        <v>900</v>
      </c>
      <c r="D50" s="29" t="s">
        <v>901</v>
      </c>
      <c r="E50" s="29" t="s">
        <v>902</v>
      </c>
      <c r="F50" s="29" t="s">
        <v>903</v>
      </c>
    </row>
    <row r="51" spans="1:6" ht="90" x14ac:dyDescent="0.25">
      <c r="A51" s="32" t="s">
        <v>216</v>
      </c>
      <c r="B51" s="29" t="s">
        <v>904</v>
      </c>
      <c r="C51" s="29" t="s">
        <v>905</v>
      </c>
      <c r="D51" s="29" t="s">
        <v>906</v>
      </c>
      <c r="E51" s="29" t="s">
        <v>907</v>
      </c>
      <c r="F51" s="29" t="s">
        <v>908</v>
      </c>
    </row>
    <row r="52" spans="1:6" ht="30" x14ac:dyDescent="0.25">
      <c r="A52" s="32" t="s">
        <v>216</v>
      </c>
      <c r="B52" s="29" t="s">
        <v>909</v>
      </c>
      <c r="C52" s="29" t="s">
        <v>910</v>
      </c>
      <c r="D52" s="29" t="s">
        <v>911</v>
      </c>
      <c r="E52" s="29" t="s">
        <v>912</v>
      </c>
      <c r="F52" s="29" t="s">
        <v>913</v>
      </c>
    </row>
    <row r="53" spans="1:6" ht="30" x14ac:dyDescent="0.25">
      <c r="A53" s="32" t="s">
        <v>216</v>
      </c>
      <c r="B53" s="29" t="s">
        <v>914</v>
      </c>
      <c r="C53" s="29" t="s">
        <v>915</v>
      </c>
      <c r="D53" s="29" t="s">
        <v>916</v>
      </c>
      <c r="E53" s="29" t="s">
        <v>917</v>
      </c>
      <c r="F53" s="29" t="s">
        <v>918</v>
      </c>
    </row>
    <row r="54" spans="1:6" x14ac:dyDescent="0.25">
      <c r="A54" s="32" t="s">
        <v>216</v>
      </c>
      <c r="B54" s="29" t="s">
        <v>919</v>
      </c>
      <c r="C54" s="29" t="s">
        <v>920</v>
      </c>
      <c r="D54" s="29" t="s">
        <v>921</v>
      </c>
      <c r="E54" s="29" t="s">
        <v>922</v>
      </c>
      <c r="F54" s="29" t="s">
        <v>923</v>
      </c>
    </row>
    <row r="55" spans="1:6" ht="30" x14ac:dyDescent="0.25">
      <c r="A55" s="32" t="s">
        <v>216</v>
      </c>
      <c r="B55" s="29" t="s">
        <v>924</v>
      </c>
      <c r="C55" s="29" t="s">
        <v>925</v>
      </c>
      <c r="D55" s="29" t="s">
        <v>926</v>
      </c>
      <c r="E55" s="29" t="s">
        <v>927</v>
      </c>
      <c r="F55" s="29" t="s">
        <v>928</v>
      </c>
    </row>
    <row r="56" spans="1:6" ht="30" x14ac:dyDescent="0.25">
      <c r="A56" s="32" t="s">
        <v>84</v>
      </c>
      <c r="B56" s="32" t="s">
        <v>929</v>
      </c>
      <c r="C56" s="29" t="s">
        <v>930</v>
      </c>
      <c r="D56" s="29" t="s">
        <v>931</v>
      </c>
      <c r="E56" s="29"/>
      <c r="F56" s="29"/>
    </row>
    <row r="57" spans="1:6" ht="30" x14ac:dyDescent="0.25">
      <c r="A57" s="32" t="s">
        <v>84</v>
      </c>
      <c r="B57" s="32" t="s">
        <v>932</v>
      </c>
      <c r="C57" s="29" t="s">
        <v>933</v>
      </c>
      <c r="D57" s="29" t="s">
        <v>934</v>
      </c>
      <c r="E57" s="29"/>
      <c r="F57" s="29"/>
    </row>
    <row r="58" spans="1:6" ht="30" x14ac:dyDescent="0.25">
      <c r="A58" s="32" t="s">
        <v>84</v>
      </c>
      <c r="B58" s="32" t="s">
        <v>935</v>
      </c>
      <c r="C58" s="29" t="s">
        <v>936</v>
      </c>
      <c r="D58" s="29" t="s">
        <v>937</v>
      </c>
      <c r="E58" s="29"/>
      <c r="F58" s="29"/>
    </row>
    <row r="59" spans="1:6" ht="30" x14ac:dyDescent="0.25">
      <c r="A59" s="32" t="s">
        <v>84</v>
      </c>
      <c r="B59" s="32" t="s">
        <v>938</v>
      </c>
      <c r="C59" s="29" t="s">
        <v>939</v>
      </c>
      <c r="D59" s="29" t="s">
        <v>940</v>
      </c>
      <c r="E59" s="29"/>
      <c r="F59" s="29"/>
    </row>
    <row r="60" spans="1:6" x14ac:dyDescent="0.25">
      <c r="A60" s="32" t="s">
        <v>84</v>
      </c>
      <c r="B60" s="32" t="s">
        <v>941</v>
      </c>
      <c r="C60" s="29" t="s">
        <v>942</v>
      </c>
      <c r="D60" s="29" t="s">
        <v>943</v>
      </c>
      <c r="E60" s="29"/>
      <c r="F60" s="29"/>
    </row>
    <row r="61" spans="1:6" ht="30" x14ac:dyDescent="0.25">
      <c r="A61" s="32" t="s">
        <v>84</v>
      </c>
      <c r="B61" s="29" t="s">
        <v>944</v>
      </c>
      <c r="C61" s="29" t="s">
        <v>945</v>
      </c>
      <c r="D61" s="29" t="s">
        <v>946</v>
      </c>
      <c r="E61" s="29"/>
      <c r="F61" s="29"/>
    </row>
    <row r="62" spans="1:6" ht="30" x14ac:dyDescent="0.25">
      <c r="A62" s="32" t="s">
        <v>84</v>
      </c>
      <c r="B62" s="29" t="s">
        <v>947</v>
      </c>
      <c r="C62" s="29" t="s">
        <v>948</v>
      </c>
      <c r="D62" s="29" t="s">
        <v>949</v>
      </c>
      <c r="E62" s="29"/>
      <c r="F62" s="29"/>
    </row>
    <row r="63" spans="1:6" ht="45" x14ac:dyDescent="0.25">
      <c r="A63" s="32" t="s">
        <v>84</v>
      </c>
      <c r="B63" s="29" t="s">
        <v>950</v>
      </c>
      <c r="C63" s="29" t="s">
        <v>951</v>
      </c>
      <c r="D63" s="29" t="s">
        <v>952</v>
      </c>
      <c r="E63" s="29" t="s">
        <v>953</v>
      </c>
      <c r="F63" s="29" t="s">
        <v>954</v>
      </c>
    </row>
    <row r="64" spans="1:6" x14ac:dyDescent="0.25">
      <c r="A64" s="32" t="s">
        <v>84</v>
      </c>
      <c r="B64" s="29" t="s">
        <v>955</v>
      </c>
      <c r="C64" s="29" t="s">
        <v>956</v>
      </c>
      <c r="D64" s="29" t="s">
        <v>957</v>
      </c>
      <c r="E64" s="29"/>
      <c r="F64" s="29"/>
    </row>
    <row r="65" spans="1:6" x14ac:dyDescent="0.25">
      <c r="A65" s="32" t="s">
        <v>84</v>
      </c>
      <c r="B65" s="29" t="s">
        <v>958</v>
      </c>
      <c r="C65" s="29" t="s">
        <v>959</v>
      </c>
      <c r="D65" s="29" t="s">
        <v>960</v>
      </c>
      <c r="E65" s="29"/>
      <c r="F65" s="29"/>
    </row>
    <row r="66" spans="1:6" x14ac:dyDescent="0.25">
      <c r="A66" s="29" t="s">
        <v>216</v>
      </c>
      <c r="B66" s="29" t="s">
        <v>961</v>
      </c>
      <c r="C66" s="29" t="s">
        <v>485</v>
      </c>
      <c r="D66" s="29" t="s">
        <v>486</v>
      </c>
      <c r="E66" s="29"/>
      <c r="F66" s="29"/>
    </row>
    <row r="67" spans="1:6" x14ac:dyDescent="0.25">
      <c r="A67" s="29" t="s">
        <v>216</v>
      </c>
      <c r="B67" s="29" t="s">
        <v>962</v>
      </c>
      <c r="C67" s="29" t="s">
        <v>638</v>
      </c>
      <c r="D67" s="29" t="s">
        <v>639</v>
      </c>
      <c r="E67" s="29"/>
      <c r="F67" s="29"/>
    </row>
    <row r="68" spans="1:6" x14ac:dyDescent="0.25">
      <c r="A68" s="29" t="s">
        <v>216</v>
      </c>
      <c r="B68" s="29" t="s">
        <v>963</v>
      </c>
      <c r="C68" s="29" t="s">
        <v>640</v>
      </c>
      <c r="D68" s="29" t="s">
        <v>641</v>
      </c>
      <c r="E68" s="29"/>
      <c r="F68" s="29"/>
    </row>
    <row r="69" spans="1:6" ht="45" x14ac:dyDescent="0.25">
      <c r="A69" s="29" t="s">
        <v>216</v>
      </c>
      <c r="B69" s="29" t="s">
        <v>964</v>
      </c>
      <c r="C69" s="29" t="s">
        <v>643</v>
      </c>
      <c r="D69" s="29" t="s">
        <v>644</v>
      </c>
      <c r="E69" s="29" t="s">
        <v>645</v>
      </c>
      <c r="F69" s="29" t="s">
        <v>646</v>
      </c>
    </row>
    <row r="70" spans="1:6" ht="30" x14ac:dyDescent="0.25">
      <c r="A70" s="29" t="s">
        <v>284</v>
      </c>
      <c r="B70" s="29" t="s">
        <v>965</v>
      </c>
      <c r="C70" s="29" t="s">
        <v>650</v>
      </c>
      <c r="D70" s="29" t="s">
        <v>651</v>
      </c>
      <c r="E70" s="29" t="s">
        <v>652</v>
      </c>
      <c r="F70" s="29" t="s">
        <v>653</v>
      </c>
    </row>
    <row r="71" spans="1:6" x14ac:dyDescent="0.25">
      <c r="A71" s="29" t="s">
        <v>284</v>
      </c>
      <c r="B71" s="29" t="s">
        <v>966</v>
      </c>
      <c r="C71" s="29" t="s">
        <v>655</v>
      </c>
      <c r="D71" s="29" t="s">
        <v>656</v>
      </c>
      <c r="E71" s="29" t="s">
        <v>657</v>
      </c>
      <c r="F71" s="29" t="s">
        <v>658</v>
      </c>
    </row>
    <row r="72" spans="1:6" x14ac:dyDescent="0.25">
      <c r="A72" s="29" t="s">
        <v>284</v>
      </c>
      <c r="B72" s="29" t="s">
        <v>967</v>
      </c>
      <c r="C72" s="29" t="s">
        <v>968</v>
      </c>
      <c r="D72" s="29" t="s">
        <v>969</v>
      </c>
      <c r="E72" s="29"/>
      <c r="F72" s="29"/>
    </row>
    <row r="73" spans="1:6" x14ac:dyDescent="0.25">
      <c r="A73" s="29" t="s">
        <v>284</v>
      </c>
      <c r="B73" s="29" t="s">
        <v>970</v>
      </c>
      <c r="C73" s="29" t="s">
        <v>971</v>
      </c>
      <c r="D73" s="29" t="s">
        <v>972</v>
      </c>
      <c r="E73" s="29"/>
      <c r="F73" s="29"/>
    </row>
    <row r="74" spans="1:6" x14ac:dyDescent="0.25">
      <c r="A74" s="29" t="s">
        <v>284</v>
      </c>
      <c r="B74" s="29" t="s">
        <v>973</v>
      </c>
      <c r="C74" s="29" t="s">
        <v>974</v>
      </c>
      <c r="D74" s="29" t="s">
        <v>975</v>
      </c>
      <c r="E74" s="29"/>
      <c r="F74" s="29"/>
    </row>
    <row r="75" spans="1:6" ht="30" x14ac:dyDescent="0.25">
      <c r="A75" s="29" t="s">
        <v>284</v>
      </c>
      <c r="B75" s="29" t="s">
        <v>976</v>
      </c>
      <c r="C75" s="29" t="s">
        <v>977</v>
      </c>
      <c r="D75" s="29" t="s">
        <v>978</v>
      </c>
      <c r="E75" s="29"/>
      <c r="F75" s="29"/>
    </row>
    <row r="76" spans="1:6" ht="30" x14ac:dyDescent="0.25">
      <c r="A76" s="32" t="s">
        <v>216</v>
      </c>
      <c r="B76" s="29" t="s">
        <v>979</v>
      </c>
      <c r="C76" s="29" t="s">
        <v>980</v>
      </c>
      <c r="D76" s="29" t="s">
        <v>981</v>
      </c>
      <c r="E76" s="29"/>
      <c r="F76" s="29"/>
    </row>
    <row r="77" spans="1:6" ht="30" x14ac:dyDescent="0.25">
      <c r="A77" s="32" t="s">
        <v>216</v>
      </c>
      <c r="B77" s="29" t="s">
        <v>982</v>
      </c>
      <c r="C77" s="29" t="s">
        <v>983</v>
      </c>
      <c r="D77" s="29" t="s">
        <v>984</v>
      </c>
      <c r="E77" s="29"/>
      <c r="F77" s="29"/>
    </row>
    <row r="78" spans="1:6" ht="30" x14ac:dyDescent="0.25">
      <c r="A78" s="32" t="s">
        <v>216</v>
      </c>
      <c r="B78" s="29" t="s">
        <v>985</v>
      </c>
      <c r="C78" s="29" t="s">
        <v>986</v>
      </c>
      <c r="D78" s="29" t="s">
        <v>987</v>
      </c>
      <c r="E78" s="29"/>
      <c r="F78" s="29"/>
    </row>
    <row r="79" spans="1:6" ht="30" x14ac:dyDescent="0.25">
      <c r="A79" s="32" t="s">
        <v>216</v>
      </c>
      <c r="B79" s="29" t="s">
        <v>988</v>
      </c>
      <c r="C79" s="29" t="s">
        <v>989</v>
      </c>
      <c r="D79" s="29" t="s">
        <v>990</v>
      </c>
      <c r="E79" s="29"/>
      <c r="F79" s="29"/>
    </row>
    <row r="80" spans="1:6" ht="30" x14ac:dyDescent="0.25">
      <c r="A80" s="32" t="s">
        <v>84</v>
      </c>
      <c r="B80" s="29" t="s">
        <v>991</v>
      </c>
      <c r="C80" s="29" t="s">
        <v>691</v>
      </c>
      <c r="D80" s="29" t="s">
        <v>692</v>
      </c>
      <c r="E80" s="29" t="s">
        <v>693</v>
      </c>
      <c r="F80" s="29" t="s">
        <v>694</v>
      </c>
    </row>
    <row r="81" spans="1:6" ht="30" x14ac:dyDescent="0.25">
      <c r="A81" s="32" t="s">
        <v>84</v>
      </c>
      <c r="B81" s="29" t="s">
        <v>992</v>
      </c>
      <c r="C81" s="29" t="s">
        <v>695</v>
      </c>
      <c r="D81" s="29" t="s">
        <v>696</v>
      </c>
      <c r="E81" s="29" t="s">
        <v>697</v>
      </c>
      <c r="F81" s="29" t="s">
        <v>698</v>
      </c>
    </row>
    <row r="82" spans="1:6" ht="60" x14ac:dyDescent="0.25">
      <c r="A82" s="32" t="s">
        <v>84</v>
      </c>
      <c r="B82" s="29" t="s">
        <v>1180</v>
      </c>
      <c r="C82" s="79" t="s">
        <v>2186</v>
      </c>
      <c r="D82" s="29" t="s">
        <v>699</v>
      </c>
      <c r="E82" s="79" t="s">
        <v>2187</v>
      </c>
      <c r="F82" s="29" t="s">
        <v>700</v>
      </c>
    </row>
    <row r="83" spans="1:6" ht="30" x14ac:dyDescent="0.25">
      <c r="A83" s="32" t="s">
        <v>84</v>
      </c>
      <c r="B83" s="29" t="s">
        <v>1181</v>
      </c>
      <c r="C83" s="29" t="s">
        <v>701</v>
      </c>
      <c r="D83" s="29" t="s">
        <v>702</v>
      </c>
      <c r="E83" s="29" t="s">
        <v>703</v>
      </c>
      <c r="F83" s="29" t="s">
        <v>704</v>
      </c>
    </row>
    <row r="84" spans="1:6" ht="30" x14ac:dyDescent="0.25">
      <c r="A84" s="32" t="s">
        <v>84</v>
      </c>
      <c r="B84" s="29" t="s">
        <v>1182</v>
      </c>
      <c r="C84" s="29" t="s">
        <v>705</v>
      </c>
      <c r="D84" s="29" t="s">
        <v>706</v>
      </c>
      <c r="E84" s="29" t="s">
        <v>707</v>
      </c>
      <c r="F84" s="29" t="s">
        <v>708</v>
      </c>
    </row>
    <row r="85" spans="1:6" ht="30" x14ac:dyDescent="0.25">
      <c r="A85" s="32" t="s">
        <v>178</v>
      </c>
      <c r="B85" s="32" t="s">
        <v>993</v>
      </c>
      <c r="C85" s="29" t="s">
        <v>994</v>
      </c>
      <c r="D85" s="29" t="s">
        <v>995</v>
      </c>
      <c r="E85" s="29" t="s">
        <v>996</v>
      </c>
      <c r="F85" s="29" t="s">
        <v>997</v>
      </c>
    </row>
    <row r="86" spans="1:6" ht="30" x14ac:dyDescent="0.25">
      <c r="A86" s="32" t="s">
        <v>178</v>
      </c>
      <c r="B86" s="32" t="s">
        <v>998</v>
      </c>
      <c r="C86" s="29" t="s">
        <v>999</v>
      </c>
      <c r="D86" s="29" t="s">
        <v>1000</v>
      </c>
      <c r="E86" s="29" t="s">
        <v>1001</v>
      </c>
      <c r="F86" s="29" t="s">
        <v>1002</v>
      </c>
    </row>
    <row r="87" spans="1:6" ht="30" x14ac:dyDescent="0.25">
      <c r="A87" s="32" t="s">
        <v>377</v>
      </c>
      <c r="B87" s="32" t="s">
        <v>1003</v>
      </c>
      <c r="C87" s="29" t="s">
        <v>1004</v>
      </c>
      <c r="D87" s="29" t="s">
        <v>1005</v>
      </c>
      <c r="E87" s="29"/>
      <c r="F87" s="29"/>
    </row>
  </sheetData>
  <autoFilter ref="A1:F87" xr:uid="{00000000-0001-0000-0500-000000000000}"/>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5"/>
  <sheetViews>
    <sheetView zoomScaleNormal="100" workbookViewId="0">
      <selection activeCell="M19" sqref="M19"/>
    </sheetView>
  </sheetViews>
  <sheetFormatPr baseColWidth="10" defaultColWidth="8.5703125" defaultRowHeight="15" x14ac:dyDescent="0.25"/>
  <cols>
    <col min="1" max="1" width="18.28515625" customWidth="1"/>
    <col min="2" max="2" width="17.7109375" customWidth="1"/>
    <col min="3" max="3" width="13.140625" customWidth="1"/>
    <col min="4" max="4" width="12.7109375" customWidth="1"/>
    <col min="5" max="5" width="14" customWidth="1"/>
    <col min="6" max="6" width="13.7109375" customWidth="1"/>
    <col min="7" max="7" width="14.85546875" customWidth="1"/>
    <col min="8" max="8" width="11.28515625" customWidth="1"/>
    <col min="9" max="9" width="13.140625" customWidth="1"/>
    <col min="12" max="12" width="14.42578125" customWidth="1"/>
  </cols>
  <sheetData>
    <row r="1" spans="1:12" s="7" customFormat="1" ht="30" x14ac:dyDescent="0.25">
      <c r="A1" s="6" t="s">
        <v>709</v>
      </c>
      <c r="B1" s="6" t="s">
        <v>710</v>
      </c>
      <c r="C1" s="6" t="s">
        <v>711</v>
      </c>
      <c r="D1" s="6" t="s">
        <v>712</v>
      </c>
      <c r="E1" s="6" t="s">
        <v>713</v>
      </c>
      <c r="F1" s="6" t="s">
        <v>714</v>
      </c>
      <c r="G1" s="6" t="s">
        <v>715</v>
      </c>
      <c r="H1" s="6" t="s">
        <v>716</v>
      </c>
      <c r="I1" s="6" t="s">
        <v>717</v>
      </c>
      <c r="J1" s="6" t="s">
        <v>718</v>
      </c>
      <c r="K1" s="6" t="s">
        <v>719</v>
      </c>
      <c r="L1" s="7" t="s">
        <v>720</v>
      </c>
    </row>
    <row r="2" spans="1:12" ht="15" customHeight="1" x14ac:dyDescent="0.25">
      <c r="A2" s="1" t="s">
        <v>415</v>
      </c>
      <c r="B2" s="1" t="s">
        <v>721</v>
      </c>
      <c r="C2" s="1" t="s">
        <v>722</v>
      </c>
      <c r="D2" s="1" t="s">
        <v>723</v>
      </c>
      <c r="E2" s="1" t="s">
        <v>724</v>
      </c>
      <c r="F2" s="1" t="s">
        <v>725</v>
      </c>
      <c r="G2" s="1" t="s">
        <v>726</v>
      </c>
      <c r="H2" s="1">
        <v>-10</v>
      </c>
      <c r="I2" s="1">
        <v>100</v>
      </c>
      <c r="J2" s="1" t="s">
        <v>727</v>
      </c>
      <c r="K2" s="1" t="s">
        <v>727</v>
      </c>
      <c r="L2" s="1" t="s">
        <v>728</v>
      </c>
    </row>
    <row r="3" spans="1:12" ht="15" customHeight="1" x14ac:dyDescent="0.25">
      <c r="A3" s="1" t="s">
        <v>408</v>
      </c>
      <c r="B3" s="1" t="s">
        <v>729</v>
      </c>
      <c r="C3" s="1" t="s">
        <v>730</v>
      </c>
      <c r="D3" s="8" t="s">
        <v>731</v>
      </c>
      <c r="E3" s="8" t="s">
        <v>732</v>
      </c>
      <c r="F3" s="8" t="s">
        <v>733</v>
      </c>
      <c r="G3" s="1" t="s">
        <v>734</v>
      </c>
      <c r="H3" s="1">
        <v>-10</v>
      </c>
      <c r="I3" s="1">
        <v>100</v>
      </c>
      <c r="J3" s="1" t="s">
        <v>727</v>
      </c>
      <c r="K3" s="1" t="s">
        <v>727</v>
      </c>
      <c r="L3" s="1" t="s">
        <v>735</v>
      </c>
    </row>
    <row r="4" spans="1:12" ht="15" customHeight="1" x14ac:dyDescent="0.25">
      <c r="A4" s="1" t="s">
        <v>419</v>
      </c>
      <c r="B4" s="1" t="s">
        <v>736</v>
      </c>
      <c r="C4" s="1" t="s">
        <v>737</v>
      </c>
      <c r="D4" s="1" t="s">
        <v>738</v>
      </c>
      <c r="E4" s="1" t="s">
        <v>739</v>
      </c>
      <c r="F4" s="1" t="s">
        <v>740</v>
      </c>
      <c r="G4" s="1" t="s">
        <v>741</v>
      </c>
      <c r="H4" s="1">
        <v>-10</v>
      </c>
      <c r="I4" s="1">
        <v>100</v>
      </c>
      <c r="J4" s="1" t="s">
        <v>727</v>
      </c>
      <c r="K4" s="1" t="s">
        <v>727</v>
      </c>
      <c r="L4" s="1" t="s">
        <v>728</v>
      </c>
    </row>
    <row r="5" spans="1:12" ht="15" customHeight="1" x14ac:dyDescent="0.25">
      <c r="A5" s="1" t="s">
        <v>423</v>
      </c>
      <c r="B5" s="1" t="s">
        <v>729</v>
      </c>
      <c r="C5" s="1" t="s">
        <v>742</v>
      </c>
      <c r="D5" s="1" t="s">
        <v>743</v>
      </c>
      <c r="E5" s="1" t="s">
        <v>732</v>
      </c>
      <c r="F5" s="1" t="s">
        <v>744</v>
      </c>
      <c r="G5" s="1" t="s">
        <v>745</v>
      </c>
      <c r="H5" s="1">
        <v>-10</v>
      </c>
      <c r="I5" s="1">
        <v>100</v>
      </c>
      <c r="J5" s="1" t="s">
        <v>727</v>
      </c>
      <c r="K5" s="1" t="s">
        <v>727</v>
      </c>
      <c r="L5" s="1" t="s">
        <v>728</v>
      </c>
    </row>
  </sheetData>
  <pageMargins left="0.7" right="0.7" top="0.75" bottom="0.75"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c790928-ed95-48e6-acd0-329fd16a4415">
      <Terms xmlns="http://schemas.microsoft.com/office/infopath/2007/PartnerControls"/>
    </lcf76f155ced4ddcb4097134ff3c332f>
    <TaxCatchAll xmlns="ed79b9f6-c8ab-4e15-9256-84373286224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42A4CAB9359F241AC29D25F1F6720D7" ma:contentTypeVersion="16" ma:contentTypeDescription="Crée un document." ma:contentTypeScope="" ma:versionID="45bf12a538d3e68cf70bf48817da5203">
  <xsd:schema xmlns:xsd="http://www.w3.org/2001/XMLSchema" xmlns:xs="http://www.w3.org/2001/XMLSchema" xmlns:p="http://schemas.microsoft.com/office/2006/metadata/properties" xmlns:ns2="ac790928-ed95-48e6-acd0-329fd16a4415" xmlns:ns3="ed79b9f6-c8ab-4e15-9256-843732862240" targetNamespace="http://schemas.microsoft.com/office/2006/metadata/properties" ma:root="true" ma:fieldsID="86b50b522ebbd652b3650e67334c5f13" ns2:_="" ns3:_="">
    <xsd:import namespace="ac790928-ed95-48e6-acd0-329fd16a4415"/>
    <xsd:import namespace="ed79b9f6-c8ab-4e15-9256-843732862240"/>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DateTaken" minOccurs="0"/>
                <xsd:element ref="ns2:MediaServiceGenerationTime" minOccurs="0"/>
                <xsd:element ref="ns2:MediaServiceEventHashCode" minOccurs="0"/>
                <xsd:element ref="ns3:SharedWithUsers" minOccurs="0"/>
                <xsd:element ref="ns3:SharedWithDetails" minOccurs="0"/>
                <xsd:element ref="ns2:MediaServiceOCR" minOccurs="0"/>
                <xsd:element ref="ns2:MediaServiceObjectDetectorVersions" minOccurs="0"/>
                <xsd:element ref="ns2:MediaServiceLocation" minOccurs="0"/>
                <xsd:element ref="ns2:MediaLengthInSecond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790928-ed95-48e6-acd0-329fd16a4415"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Balises d’images" ma:readOnly="false" ma:fieldId="{5cf76f15-5ced-4ddc-b409-7134ff3c332f}" ma:taxonomyMulti="true" ma:sspId="49104af7-9e60-4236-8bb1-95acb2461f12"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d79b9f6-c8ab-4e15-9256-843732862240"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2fced484-5630-4359-b133-68cf689c774c}" ma:internalName="TaxCatchAll" ma:showField="CatchAllData" ma:web="ed79b9f6-c8ab-4e15-9256-843732862240">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082826E-2475-4023-B1E8-870DCD7B4ACD}">
  <ds:schemaRefs>
    <ds:schemaRef ds:uri="ac790928-ed95-48e6-acd0-329fd16a4415"/>
    <ds:schemaRef ds:uri="http://schemas.microsoft.com/office/infopath/2007/PartnerControls"/>
    <ds:schemaRef ds:uri="http://schemas.microsoft.com/office/2006/documentManagement/types"/>
    <ds:schemaRef ds:uri="http://purl.org/dc/dcmitype/"/>
    <ds:schemaRef ds:uri="http://schemas.microsoft.com/office/2006/metadata/properties"/>
    <ds:schemaRef ds:uri="http://schemas.openxmlformats.org/package/2006/metadata/core-properties"/>
    <ds:schemaRef ds:uri="ed79b9f6-c8ab-4e15-9256-843732862240"/>
    <ds:schemaRef ds:uri="http://www.w3.org/XML/1998/namespace"/>
    <ds:schemaRef ds:uri="http://purl.org/dc/terms/"/>
    <ds:schemaRef ds:uri="http://purl.org/dc/elements/1.1/"/>
  </ds:schemaRefs>
</ds:datastoreItem>
</file>

<file path=customXml/itemProps2.xml><?xml version="1.0" encoding="utf-8"?>
<ds:datastoreItem xmlns:ds="http://schemas.openxmlformats.org/officeDocument/2006/customXml" ds:itemID="{DA67C629-6E87-4F1A-9F6A-82CAB87510DD}">
  <ds:schemaRefs>
    <ds:schemaRef ds:uri="http://schemas.microsoft.com/sharepoint/v3/contenttype/forms"/>
  </ds:schemaRefs>
</ds:datastoreItem>
</file>

<file path=customXml/itemProps3.xml><?xml version="1.0" encoding="utf-8"?>
<ds:datastoreItem xmlns:ds="http://schemas.openxmlformats.org/officeDocument/2006/customXml" ds:itemID="{5F52C7E0-CBBD-4CA9-B644-7726D6BEEF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790928-ed95-48e6-acd0-329fd16a4415"/>
    <ds:schemaRef ds:uri="ed79b9f6-c8ab-4e15-9256-84373286224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Sections</vt:lpstr>
      <vt:lpstr>Widgets</vt:lpstr>
      <vt:lpstr>Conditionals</vt:lpstr>
      <vt:lpstr>Choices</vt:lpstr>
      <vt:lpstr>Help_Popup</vt:lpstr>
      <vt:lpstr>Labels</vt:lpstr>
      <vt:lpstr>InputRange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Mathilde Moliner</cp:lastModifiedBy>
  <cp:revision>330</cp:revision>
  <dcterms:created xsi:type="dcterms:W3CDTF">2025-05-09T19:14:48Z</dcterms:created>
  <dcterms:modified xsi:type="dcterms:W3CDTF">2026-04-29T20:56:34Z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0x010100342A4CAB9359F241AC29D25F1F6720D7</vt:lpwstr>
  </property>
  <property fmtid="{D5CDD505-2E9C-101B-9397-08002B2CF9AE}" pid="3" name="MediaServiceImageTags">
    <vt:lpwstr/>
  </property>
</Properties>
</file>